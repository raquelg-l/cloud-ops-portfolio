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hidePivotFieldList="1" defaultThemeVersion="166925"/>
  <xr:revisionPtr revIDLastSave="0" documentId="8_{E0039074-0023-43DD-9C10-D9955BD35439}" xr6:coauthVersionLast="47" xr6:coauthVersionMax="47" xr10:uidLastSave="{00000000-0000-0000-0000-000000000000}"/>
  <bookViews>
    <workbookView xWindow="240" yWindow="105" windowWidth="14805" windowHeight="8010" firstSheet="5" activeTab="6" xr2:uid="{00000000-000D-0000-FFFF-FFFF00000000}"/>
  </bookViews>
  <sheets>
    <sheet name="Dashboard" sheetId="4" r:id="rId1"/>
    <sheet name="Tracking" sheetId="9" r:id="rId2"/>
    <sheet name="Computers" sheetId="1" r:id="rId3"/>
    <sheet name="Smartphones" sheetId="5" r:id="rId4"/>
    <sheet name="Dongles" sheetId="6" r:id="rId5"/>
    <sheet name="Peripherals" sheetId="10" r:id="rId6"/>
    <sheet name="SIM" sheetId="11" r:id="rId7"/>
    <sheet name="Out" sheetId="2" r:id="rId8"/>
    <sheet name="In" sheetId="7" r:id="rId9"/>
  </sheets>
  <calcPr calcId="191028"/>
  <pivotCaches>
    <pivotCache cacheId="714" r:id="rId10"/>
    <pivotCache cacheId="721" r:id="rId11"/>
    <pivotCache cacheId="72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J11" i="4"/>
  <c r="I11" i="4"/>
  <c r="K10" i="4"/>
  <c r="J10" i="4"/>
  <c r="I10" i="4"/>
  <c r="I8" i="4"/>
  <c r="I6" i="4"/>
  <c r="I7" i="4"/>
  <c r="J6" i="4"/>
  <c r="K6" i="4"/>
  <c r="I9" i="4"/>
  <c r="L9" i="4"/>
  <c r="L6" i="4"/>
  <c r="L8" i="4"/>
  <c r="L7" i="4" l="1"/>
  <c r="L10" i="4"/>
  <c r="L11" i="4"/>
</calcChain>
</file>

<file path=xl/sharedStrings.xml><?xml version="1.0" encoding="utf-8"?>
<sst xmlns="http://schemas.openxmlformats.org/spreadsheetml/2006/main" count="1116" uniqueCount="542">
  <si>
    <t>Índex</t>
  </si>
  <si>
    <t>Equipment in stock</t>
  </si>
  <si>
    <t>Peripherals</t>
  </si>
  <si>
    <t>TYPE</t>
  </si>
  <si>
    <t>DETAIL</t>
  </si>
  <si>
    <t>Contar de UNITS</t>
  </si>
  <si>
    <t>Inventories</t>
  </si>
  <si>
    <t>Computers</t>
  </si>
  <si>
    <t>Smartphones</t>
  </si>
  <si>
    <t>Pinchos</t>
  </si>
  <si>
    <t>Total</t>
  </si>
  <si>
    <t>Adapter</t>
  </si>
  <si>
    <t>HDMI-VGA Adapter</t>
  </si>
  <si>
    <t>Available</t>
  </si>
  <si>
    <t>Mini DisplayPort-HDMI Adapter</t>
  </si>
  <si>
    <t xml:space="preserve">    Pending</t>
  </si>
  <si>
    <t>-</t>
  </si>
  <si>
    <t>Network Adapter</t>
  </si>
  <si>
    <t>Dongles</t>
  </si>
  <si>
    <t xml:space="preserve">    Ready</t>
  </si>
  <si>
    <t>USB Network Adapter</t>
  </si>
  <si>
    <t>Peripherics</t>
  </si>
  <si>
    <t xml:space="preserve">    Emergency stock</t>
  </si>
  <si>
    <t>Adapter Total</t>
  </si>
  <si>
    <t>SIM</t>
  </si>
  <si>
    <t>Damaged</t>
  </si>
  <si>
    <t>Reassigned</t>
  </si>
  <si>
    <t>Cable</t>
  </si>
  <si>
    <t>A-B Connection Cable</t>
  </si>
  <si>
    <t>Stock Movements</t>
  </si>
  <si>
    <t>HDMI Cable</t>
  </si>
  <si>
    <t>Out</t>
  </si>
  <si>
    <t>Cable Total</t>
  </si>
  <si>
    <t>In</t>
  </si>
  <si>
    <t>HUB</t>
  </si>
  <si>
    <t>USB 3.0 HUB</t>
  </si>
  <si>
    <t>USB-C to HUB (HDTV+VGA+USB)</t>
  </si>
  <si>
    <t>HUB Total</t>
  </si>
  <si>
    <t>Peripheral</t>
  </si>
  <si>
    <t>USB Keyboard</t>
  </si>
  <si>
    <t>USB Mouse</t>
  </si>
  <si>
    <t>Peripheral Total</t>
  </si>
  <si>
    <t>Total xeral</t>
  </si>
  <si>
    <t>New Hires</t>
  </si>
  <si>
    <t>Removals</t>
  </si>
  <si>
    <t>Daily breakdown</t>
  </si>
  <si>
    <t>Weekly breakdown</t>
  </si>
  <si>
    <t>Weekly breakdown by action</t>
  </si>
  <si>
    <t>Contar de ASSIGNMENT DATE</t>
  </si>
  <si>
    <t>EQUIPMENT</t>
  </si>
  <si>
    <t>Contar de EQUIPMENT</t>
  </si>
  <si>
    <t>WEEK</t>
  </si>
  <si>
    <t>STATUS</t>
  </si>
  <si>
    <t>ASSIGNMENT DATE</t>
  </si>
  <si>
    <t>Technician</t>
  </si>
  <si>
    <t>Computer</t>
  </si>
  <si>
    <t>Dongle</t>
  </si>
  <si>
    <t>Smartphone</t>
  </si>
  <si>
    <t>Received</t>
  </si>
  <si>
    <t>Pending</t>
  </si>
  <si>
    <t>R</t>
  </si>
  <si>
    <t>F</t>
  </si>
  <si>
    <t>F Total</t>
  </si>
  <si>
    <t>11/06/2026 Total</t>
  </si>
  <si>
    <t>29 Total</t>
  </si>
  <si>
    <t>R Total</t>
  </si>
  <si>
    <t>30 Total</t>
  </si>
  <si>
    <t>12/06/2026 Total</t>
  </si>
  <si>
    <t>15/06/2026 Total</t>
  </si>
  <si>
    <t>16/06/2026 Total</t>
  </si>
  <si>
    <t>17/06/2026 Total</t>
  </si>
  <si>
    <t>Computers Inventory</t>
  </si>
  <si>
    <t>REGISTRY DATE</t>
  </si>
  <si>
    <t>SN</t>
  </si>
  <si>
    <t>MODEL</t>
  </si>
  <si>
    <t>PROFILE</t>
  </si>
  <si>
    <t>NOTES</t>
  </si>
  <si>
    <t>8LQ4361D9C</t>
  </si>
  <si>
    <t>Latitude 5430</t>
  </si>
  <si>
    <t>Technical</t>
  </si>
  <si>
    <t>Available - Pending</t>
  </si>
  <si>
    <t>1HF7825W4R</t>
  </si>
  <si>
    <t>Latitude 5420</t>
  </si>
  <si>
    <t>6TP9038K2M</t>
  </si>
  <si>
    <t>EliteBook 640 G9</t>
  </si>
  <si>
    <t>Administrative</t>
  </si>
  <si>
    <t>4BX5176N8F</t>
  </si>
  <si>
    <t>ThinkPad E14</t>
  </si>
  <si>
    <t>7MJ2649Q3V</t>
  </si>
  <si>
    <t>ProBook 440 G9</t>
  </si>
  <si>
    <t>2RD8315C6L</t>
  </si>
  <si>
    <t>ThinkPad L15</t>
  </si>
  <si>
    <t>9KN4752T1P</t>
  </si>
  <si>
    <t>EliteBook 650 G9</t>
  </si>
  <si>
    <t>Healthcare</t>
  </si>
  <si>
    <t>5WQ6983F7M</t>
  </si>
  <si>
    <t>3CH2147V9D</t>
  </si>
  <si>
    <t>8PN7536R2K</t>
  </si>
  <si>
    <t>5CD1302M1L</t>
  </si>
  <si>
    <t>Available - Ready</t>
  </si>
  <si>
    <t>Emergency stock</t>
  </si>
  <si>
    <t>7KF2849R2N</t>
  </si>
  <si>
    <t>ProBook 450 G10</t>
  </si>
  <si>
    <t>3MP7165T8Q</t>
  </si>
  <si>
    <t>ProBook 445 G8</t>
  </si>
  <si>
    <t>9BX4027K4D</t>
  </si>
  <si>
    <t>EliteBook 640 G10</t>
  </si>
  <si>
    <t>6QB1734H5N</t>
  </si>
  <si>
    <t>ProBook 450 G9</t>
  </si>
  <si>
    <t>8KS6295P3V</t>
  </si>
  <si>
    <t>ThinkPad E15</t>
  </si>
  <si>
    <t>2CJ4851R7D</t>
  </si>
  <si>
    <t>3VW2519F7N</t>
  </si>
  <si>
    <t>8DK7436M2C</t>
  </si>
  <si>
    <t>6QR1953T4L</t>
  </si>
  <si>
    <t>ProBook 440 G8</t>
  </si>
  <si>
    <t>1BH8267P9V</t>
  </si>
  <si>
    <t>4FN3705C6R</t>
  </si>
  <si>
    <t>6TX2085P7V</t>
  </si>
  <si>
    <t>Keyboard malfunction</t>
  </si>
  <si>
    <t>1CW9634M2F</t>
  </si>
  <si>
    <t>ThinkPad L14</t>
  </si>
  <si>
    <t>Screen backlight failure</t>
  </si>
  <si>
    <t>4RK5719D8Q</t>
  </si>
  <si>
    <t>Latitude 5410</t>
  </si>
  <si>
    <t>Cooling fan failure</t>
  </si>
  <si>
    <t>7GH3426N5C</t>
  </si>
  <si>
    <t>Latitude 5400</t>
  </si>
  <si>
    <t>Damaged charging port</t>
  </si>
  <si>
    <t>7TP5812K3D</t>
  </si>
  <si>
    <t>2XM9468N1Q</t>
  </si>
  <si>
    <t>Latitude 5440</t>
  </si>
  <si>
    <t>9GV2135F7M</t>
  </si>
  <si>
    <t>5RD6849V2C</t>
  </si>
  <si>
    <t>EliteBook 650 G8</t>
  </si>
  <si>
    <t>3KL5071P8N</t>
  </si>
  <si>
    <t>8WQ3624D5T</t>
  </si>
  <si>
    <t>6CF7193M2R</t>
  </si>
  <si>
    <t>1NT4586K7B</t>
  </si>
  <si>
    <t>4QX8302V9L</t>
  </si>
  <si>
    <t>Inventario Móbiles</t>
  </si>
  <si>
    <t>IMEI</t>
  </si>
  <si>
    <t>351234567890121</t>
  </si>
  <si>
    <t>SMG26001</t>
  </si>
  <si>
    <t>Samsung Galaxy A54 5G</t>
  </si>
  <si>
    <t>352345678901232</t>
  </si>
  <si>
    <t>SMG26002</t>
  </si>
  <si>
    <t>353456789012343</t>
  </si>
  <si>
    <t>SMG26003</t>
  </si>
  <si>
    <t>354567890123454</t>
  </si>
  <si>
    <t>SMG26004</t>
  </si>
  <si>
    <t>355678901234565</t>
  </si>
  <si>
    <t>SMG26005</t>
  </si>
  <si>
    <t>356789012345676</t>
  </si>
  <si>
    <t>SMG26006</t>
  </si>
  <si>
    <t>Samsung Galaxy A34 5G</t>
  </si>
  <si>
    <t>357890123456787</t>
  </si>
  <si>
    <t>SMG26007</t>
  </si>
  <si>
    <t>358901234567898</t>
  </si>
  <si>
    <t>SMG26008</t>
  </si>
  <si>
    <t>Samsung Galaxy A14 5G</t>
  </si>
  <si>
    <t>359012345678909</t>
  </si>
  <si>
    <t>SMG26009</t>
  </si>
  <si>
    <t>Samsung Galaxy A24</t>
  </si>
  <si>
    <t>360123456789010</t>
  </si>
  <si>
    <t>SMG26010</t>
  </si>
  <si>
    <t>361234567890121</t>
  </si>
  <si>
    <t>SMG26011</t>
  </si>
  <si>
    <t>362345678901232</t>
  </si>
  <si>
    <t>SMG26012</t>
  </si>
  <si>
    <t>363456789012343</t>
  </si>
  <si>
    <t>SMG26013</t>
  </si>
  <si>
    <t>364567890123454</t>
  </si>
  <si>
    <t>SMG26014</t>
  </si>
  <si>
    <t>365678901234565</t>
  </si>
  <si>
    <t>SMG26015</t>
  </si>
  <si>
    <t>366789012345676</t>
  </si>
  <si>
    <t>SMG26016</t>
  </si>
  <si>
    <t>367890123456787</t>
  </si>
  <si>
    <t>SMG26017</t>
  </si>
  <si>
    <t>368901234567898</t>
  </si>
  <si>
    <t>SMG26018</t>
  </si>
  <si>
    <t>369012345678909</t>
  </si>
  <si>
    <t>SMG26019</t>
  </si>
  <si>
    <t>370123456789010</t>
  </si>
  <si>
    <t>SMG26020</t>
  </si>
  <si>
    <t>371234567890121</t>
  </si>
  <si>
    <t>SMG26021</t>
  </si>
  <si>
    <t>372345678901232</t>
  </si>
  <si>
    <t>SMG26022</t>
  </si>
  <si>
    <t>Cracked screen</t>
  </si>
  <si>
    <t>373456789012343</t>
  </si>
  <si>
    <t>SMG26023</t>
  </si>
  <si>
    <t>Battery failure</t>
  </si>
  <si>
    <t>374567890123454</t>
  </si>
  <si>
    <t>SMG26024</t>
  </si>
  <si>
    <t>Camera malfunction</t>
  </si>
  <si>
    <t>375678901234565</t>
  </si>
  <si>
    <t>SMG26025</t>
  </si>
  <si>
    <t>Damaged USB port</t>
  </si>
  <si>
    <t>Dongles Stock</t>
  </si>
  <si>
    <t>CONTRASEÑA</t>
  </si>
  <si>
    <t>TP-Link M7200</t>
  </si>
  <si>
    <t>Dk7#pL42</t>
  </si>
  <si>
    <t>Hm4@xP81</t>
  </si>
  <si>
    <t>Wp6!sA39</t>
  </si>
  <si>
    <t>Xv5#nC92</t>
  </si>
  <si>
    <t>Pc7@hL31</t>
  </si>
  <si>
    <t>Rs8!yN24</t>
  </si>
  <si>
    <t>La6#pX53</t>
  </si>
  <si>
    <t>Nv2#xD73</t>
  </si>
  <si>
    <t>490154556677889</t>
  </si>
  <si>
    <t>Pa5@kR84</t>
  </si>
  <si>
    <t>Nz8#kR27</t>
  </si>
  <si>
    <t>USB port issue</t>
  </si>
  <si>
    <t>Qn9!cR18</t>
  </si>
  <si>
    <t>Scratched casing</t>
  </si>
  <si>
    <t>356789445566778</t>
  </si>
  <si>
    <t>Hj7!mQ52</t>
  </si>
  <si>
    <t>SIM slot issue</t>
  </si>
  <si>
    <t>Qr9!vT63</t>
  </si>
  <si>
    <t>Bt3@qM74</t>
  </si>
  <si>
    <t>Jk9!rF46</t>
  </si>
  <si>
    <t>Gm2#tQ85</t>
  </si>
  <si>
    <t>Vk4@dB67</t>
  </si>
  <si>
    <t>Tf5@wK76</t>
  </si>
  <si>
    <t>Yb7#sM42</t>
  </si>
  <si>
    <t>Er3!jP89</t>
  </si>
  <si>
    <t>Ux8@vC35</t>
  </si>
  <si>
    <t>Huawei E8372</t>
  </si>
  <si>
    <t>Km4#qH61</t>
  </si>
  <si>
    <t>D-Link DWR-932</t>
  </si>
  <si>
    <t>Zp6!nT27</t>
  </si>
  <si>
    <t>TP-Link M7350</t>
  </si>
  <si>
    <t>Fc9@rL48</t>
  </si>
  <si>
    <t>Peripherals Stock</t>
  </si>
  <si>
    <t>MOVEMENT</t>
  </si>
  <si>
    <t>UNITS</t>
  </si>
  <si>
    <t>SP1-14</t>
  </si>
  <si>
    <t>24</t>
  </si>
  <si>
    <t>A109-0709</t>
  </si>
  <si>
    <t>15</t>
  </si>
  <si>
    <t>K120</t>
  </si>
  <si>
    <t>12</t>
  </si>
  <si>
    <t>MK3763</t>
  </si>
  <si>
    <t>35</t>
  </si>
  <si>
    <t>421</t>
  </si>
  <si>
    <t>8</t>
  </si>
  <si>
    <t>AK-300102-018-S</t>
  </si>
  <si>
    <t>14</t>
  </si>
  <si>
    <t>B100</t>
  </si>
  <si>
    <t>42</t>
  </si>
  <si>
    <t>X001HRP6KR</t>
  </si>
  <si>
    <t>6</t>
  </si>
  <si>
    <t>X001WXATDP</t>
  </si>
  <si>
    <t>11</t>
  </si>
  <si>
    <t>A109-0708</t>
  </si>
  <si>
    <t>20</t>
  </si>
  <si>
    <t>ZL-8828A</t>
  </si>
  <si>
    <t>9</t>
  </si>
  <si>
    <t>-2</t>
  </si>
  <si>
    <t>-3</t>
  </si>
  <si>
    <t>-1</t>
  </si>
  <si>
    <t>-5</t>
  </si>
  <si>
    <t>-4</t>
  </si>
  <si>
    <t>25</t>
  </si>
  <si>
    <t>16</t>
  </si>
  <si>
    <t>SIM Stock</t>
  </si>
  <si>
    <t>NUMBER</t>
  </si>
  <si>
    <t>PIN</t>
  </si>
  <si>
    <t>PUK</t>
  </si>
  <si>
    <t>STATE</t>
  </si>
  <si>
    <t>25/06/2026</t>
  </si>
  <si>
    <t>8934012422447014827</t>
  </si>
  <si>
    <t>Voice+Data</t>
  </si>
  <si>
    <t>62173594</t>
  </si>
  <si>
    <t>6042</t>
  </si>
  <si>
    <t>27/06/2026</t>
  </si>
  <si>
    <t>8934012422447016394</t>
  </si>
  <si>
    <t>69842176</t>
  </si>
  <si>
    <t>1573</t>
  </si>
  <si>
    <t>02/07/2026</t>
  </si>
  <si>
    <t>8934012422447018265</t>
  </si>
  <si>
    <t>61157248</t>
  </si>
  <si>
    <t>4391</t>
  </si>
  <si>
    <t>08/07/2026</t>
  </si>
  <si>
    <t>8934012422447021459</t>
  </si>
  <si>
    <t>63291847</t>
  </si>
  <si>
    <t>1846</t>
  </si>
  <si>
    <t>14/07/2026</t>
  </si>
  <si>
    <t>8934012422447024673</t>
  </si>
  <si>
    <t>67382914</t>
  </si>
  <si>
    <t>2418</t>
  </si>
  <si>
    <t>17/07/2026</t>
  </si>
  <si>
    <t>8934012422447025819</t>
  </si>
  <si>
    <t>64571683</t>
  </si>
  <si>
    <t>9074</t>
  </si>
  <si>
    <t>23/07/2026</t>
  </si>
  <si>
    <t>8934012422447028691</t>
  </si>
  <si>
    <t>68625147</t>
  </si>
  <si>
    <t>8145</t>
  </si>
  <si>
    <t>29/07/2026</t>
  </si>
  <si>
    <t>8934012422447031762</t>
  </si>
  <si>
    <t>67432958</t>
  </si>
  <si>
    <t>4286</t>
  </si>
  <si>
    <t>04/08/2026</t>
  </si>
  <si>
    <t>8934012422447034685</t>
  </si>
  <si>
    <t>62378149</t>
  </si>
  <si>
    <t>9513</t>
  </si>
  <si>
    <t>07/08/2026</t>
  </si>
  <si>
    <t>8934012422447035194</t>
  </si>
  <si>
    <t>65924371</t>
  </si>
  <si>
    <t>2864</t>
  </si>
  <si>
    <t>13/08/2026</t>
  </si>
  <si>
    <t>8934012422447038276</t>
  </si>
  <si>
    <t>Data</t>
  </si>
  <si>
    <t>68143629</t>
  </si>
  <si>
    <t>5198</t>
  </si>
  <si>
    <t>22/08/2026</t>
  </si>
  <si>
    <t>8934012422447042869</t>
  </si>
  <si>
    <t>62517438</t>
  </si>
  <si>
    <t>1965</t>
  </si>
  <si>
    <t>8934012422447040000</t>
  </si>
  <si>
    <t>05/07/2026</t>
  </si>
  <si>
    <t>8934012422447019738</t>
  </si>
  <si>
    <t>68734612</t>
  </si>
  <si>
    <t>7625</t>
  </si>
  <si>
    <t>SIM card scratched</t>
  </si>
  <si>
    <t>26/07/2026</t>
  </si>
  <si>
    <t>8934012422447030148</t>
  </si>
  <si>
    <t>63184726</t>
  </si>
  <si>
    <t>6729</t>
  </si>
  <si>
    <t>Chip malfunction</t>
  </si>
  <si>
    <t>16/08/2026</t>
  </si>
  <si>
    <t>8934012422447039415</t>
  </si>
  <si>
    <t>64721953</t>
  </si>
  <si>
    <t>3627</t>
  </si>
  <si>
    <t>SIM not detected</t>
  </si>
  <si>
    <t>23/06/2026</t>
  </si>
  <si>
    <t>8934012422447013152</t>
  </si>
  <si>
    <t>67218453</t>
  </si>
  <si>
    <t>3189</t>
  </si>
  <si>
    <t>30/06/2026</t>
  </si>
  <si>
    <t>8934012422447017541</t>
  </si>
  <si>
    <t>64489321</t>
  </si>
  <si>
    <t>8256</t>
  </si>
  <si>
    <t>11/07/2026</t>
  </si>
  <si>
    <t>8934012422447023186</t>
  </si>
  <si>
    <t>69917532</t>
  </si>
  <si>
    <t>5937</t>
  </si>
  <si>
    <t>20/07/2026</t>
  </si>
  <si>
    <t>8934012422447027345</t>
  </si>
  <si>
    <t>61849375</t>
  </si>
  <si>
    <t>3562</t>
  </si>
  <si>
    <t>01/08/2026</t>
  </si>
  <si>
    <t>8934012422447033257</t>
  </si>
  <si>
    <t>69751483</t>
  </si>
  <si>
    <t>1357</t>
  </si>
  <si>
    <t>10/08/2026</t>
  </si>
  <si>
    <t>8934012422447036841</t>
  </si>
  <si>
    <t>61295734</t>
  </si>
  <si>
    <t>7431</t>
  </si>
  <si>
    <t>19/08/2026</t>
  </si>
  <si>
    <t>8934012422447041538</t>
  </si>
  <si>
    <t>69385721</t>
  </si>
  <si>
    <t>8742</t>
  </si>
  <si>
    <r>
      <rPr>
        <b/>
        <sz val="14"/>
        <color rgb="FFFFFFFF"/>
        <rFont val="Aptos"/>
      </rPr>
      <t xml:space="preserve">New Hires
</t>
    </r>
    <r>
      <rPr>
        <i/>
        <sz val="9"/>
        <color rgb="FFFFFFFF"/>
        <rFont val="Aptos"/>
      </rPr>
      <t>Managed since 01/06/2026</t>
    </r>
  </si>
  <si>
    <t>T</t>
  </si>
  <si>
    <t>TICKET</t>
  </si>
  <si>
    <t>HOSTNAME</t>
  </si>
  <si>
    <t>IDENTIFIER</t>
  </si>
  <si>
    <t>NEW USER LAST NAME</t>
  </si>
  <si>
    <t>NEW USER FIRST NAME</t>
  </si>
  <si>
    <t>OFFICE</t>
  </si>
  <si>
    <t>SHIPPING DATE</t>
  </si>
  <si>
    <t>LAP-ALC-0219</t>
  </si>
  <si>
    <t>CND3178KQ4</t>
  </si>
  <si>
    <t>MARTINEZ GARCIA</t>
  </si>
  <si>
    <t>ALBA</t>
  </si>
  <si>
    <t>Madrid</t>
  </si>
  <si>
    <t>PC-MAL-0334</t>
  </si>
  <si>
    <t>NAVARRO PEREZ</t>
  </si>
  <si>
    <t>DANIEL</t>
  </si>
  <si>
    <t>644 218 573</t>
  </si>
  <si>
    <t>Valencia</t>
  </si>
  <si>
    <t>PC-MAD-0247</t>
  </si>
  <si>
    <t>CND2846MTR</t>
  </si>
  <si>
    <t>SANTOS VEIGA</t>
  </si>
  <si>
    <t>LAURA</t>
  </si>
  <si>
    <t>681 493 726</t>
  </si>
  <si>
    <t>Vigo</t>
  </si>
  <si>
    <t>LAP-VAL-0183</t>
  </si>
  <si>
    <t>ROMERO BLANCO</t>
  </si>
  <si>
    <t>SERGIO</t>
  </si>
  <si>
    <t>Seville</t>
  </si>
  <si>
    <t>PC-VIG-0315</t>
  </si>
  <si>
    <t>CND2951PX7</t>
  </si>
  <si>
    <t>CASTRO FERNANDEZ</t>
  </si>
  <si>
    <t>MARTA</t>
  </si>
  <si>
    <t>673 582 914</t>
  </si>
  <si>
    <t>Bilbao</t>
  </si>
  <si>
    <t>MOB-BIL-0092</t>
  </si>
  <si>
    <t>ALONSO DIAZ</t>
  </si>
  <si>
    <t>HUGO</t>
  </si>
  <si>
    <t>Zaragoza</t>
  </si>
  <si>
    <t>SIM not required</t>
  </si>
  <si>
    <t>LAP-BCN-0274</t>
  </si>
  <si>
    <t>CND3087LFW</t>
  </si>
  <si>
    <t>GONZALEZ SOTO</t>
  </si>
  <si>
    <t>IRENE</t>
  </si>
  <si>
    <t>612 745 839</t>
  </si>
  <si>
    <t>A Coruña</t>
  </si>
  <si>
    <t>PC-GRA-0168</t>
  </si>
  <si>
    <t>CND2714RVB</t>
  </si>
  <si>
    <t>PRIETO LOPEZ</t>
  </si>
  <si>
    <t>ADRIAN</t>
  </si>
  <si>
    <t>Valladolid</t>
  </si>
  <si>
    <t>MOB-SEV-0341</t>
  </si>
  <si>
    <t>MORENO RUIZ</t>
  </si>
  <si>
    <t>ELENA</t>
  </si>
  <si>
    <t>698 351 472</t>
  </si>
  <si>
    <t>Malaga</t>
  </si>
  <si>
    <t>LAP-MAD-0226</t>
  </si>
  <si>
    <t>CND3196QZS</t>
  </si>
  <si>
    <t>VAZQUEZ MARTIN</t>
  </si>
  <si>
    <t>PABLO</t>
  </si>
  <si>
    <t>625 817 394</t>
  </si>
  <si>
    <t>Oviedo</t>
  </si>
  <si>
    <t>PC-OVI-0139</t>
  </si>
  <si>
    <t>IGLESIAS RAMOS</t>
  </si>
  <si>
    <t>NURIA</t>
  </si>
  <si>
    <t>MOB-ALI-0285</t>
  </si>
  <si>
    <t>MORALES GIL</t>
  </si>
  <si>
    <t>ALVARO</t>
  </si>
  <si>
    <t>659 472 816</t>
  </si>
  <si>
    <t>Murcia</t>
  </si>
  <si>
    <t>PC-SDR-0194</t>
  </si>
  <si>
    <t>CND3024HNX</t>
  </si>
  <si>
    <t>ESTEBAN MARQUEZ</t>
  </si>
  <si>
    <t>CLARA</t>
  </si>
  <si>
    <t>Pamplona</t>
  </si>
  <si>
    <t>LAP-ZAR-0362</t>
  </si>
  <si>
    <t>CND3268WKP</t>
  </si>
  <si>
    <t>FERNANDEZ CAMPOS</t>
  </si>
  <si>
    <t>DIEGO</t>
  </si>
  <si>
    <t>617 283 945</t>
  </si>
  <si>
    <t>Salamanca</t>
  </si>
  <si>
    <t>PC-COR-0251</t>
  </si>
  <si>
    <t>RUBIO SERRANO</t>
  </si>
  <si>
    <t>PAULA</t>
  </si>
  <si>
    <t>672 915 438</t>
  </si>
  <si>
    <t>Alicante</t>
  </si>
  <si>
    <t>MOB-MUR-0117</t>
  </si>
  <si>
    <t>CND2873BQC</t>
  </si>
  <si>
    <t>MARTIN GOMEZ</t>
  </si>
  <si>
    <t>RAUL</t>
  </si>
  <si>
    <t>634 728 591</t>
  </si>
  <si>
    <t>Cordoba</t>
  </si>
  <si>
    <t>LAP-SAL-0293</t>
  </si>
  <si>
    <t>HERRERA SANCHEZ</t>
  </si>
  <si>
    <t>LUCIA</t>
  </si>
  <si>
    <t>Toledo</t>
  </si>
  <si>
    <t>PC-TOL-0176</t>
  </si>
  <si>
    <t>PASCUAL TORRES</t>
  </si>
  <si>
    <t>MARIO</t>
  </si>
  <si>
    <t>646 193 827</t>
  </si>
  <si>
    <t>MOB-PAM-0328</t>
  </si>
  <si>
    <t>CND3145VTR</t>
  </si>
  <si>
    <t>REY CASTILLO</t>
  </si>
  <si>
    <t>SARA</t>
  </si>
  <si>
    <t>Lugo</t>
  </si>
  <si>
    <t>LAP-LUG-0145</t>
  </si>
  <si>
    <t>CND3317JMK</t>
  </si>
  <si>
    <t>BLANCO RODRIGUEZ</t>
  </si>
  <si>
    <t>ANDREA</t>
  </si>
  <si>
    <t>683 527 194</t>
  </si>
  <si>
    <t>Barcelona</t>
  </si>
  <si>
    <t>PC-OURE-0269</t>
  </si>
  <si>
    <t>LOPEZ VILA</t>
  </si>
  <si>
    <t>JAVIER</t>
  </si>
  <si>
    <t>611 839 472</t>
  </si>
  <si>
    <t>Granada</t>
  </si>
  <si>
    <t>MOB-PON-0204</t>
  </si>
  <si>
    <t>CND2769ZLP</t>
  </si>
  <si>
    <t>FARIÑA PEREZ</t>
  </si>
  <si>
    <t>NOA</t>
  </si>
  <si>
    <t>695 214 638</t>
  </si>
  <si>
    <t>Pontevedra</t>
  </si>
  <si>
    <t>LAP-LEO-0357</t>
  </si>
  <si>
    <t>RIVAS MARTINEZ</t>
  </si>
  <si>
    <t>OSCAR</t>
  </si>
  <si>
    <t>León</t>
  </si>
  <si>
    <t>PC-SCQ-0128</t>
  </si>
  <si>
    <t>CRESPO ALVAREZ</t>
  </si>
  <si>
    <t>EVA</t>
  </si>
  <si>
    <t>628 471 953</t>
  </si>
  <si>
    <t>Santander</t>
  </si>
  <si>
    <t>MOB-XAT-0306</t>
  </si>
  <si>
    <t>CND2984XGF</t>
  </si>
  <si>
    <t>DURAN MONTES</t>
  </si>
  <si>
    <t>IVAN</t>
  </si>
  <si>
    <t>Ourense</t>
  </si>
  <si>
    <t>Equipment reassigned without SIM</t>
  </si>
  <si>
    <r>
      <rPr>
        <b/>
        <sz val="14"/>
        <color rgb="FFFFFFFF"/>
        <rFont val="Aptos"/>
      </rPr>
      <t xml:space="preserve">Removals
</t>
    </r>
    <r>
      <rPr>
        <i/>
        <sz val="9"/>
        <color rgb="FFFFFFFF"/>
        <rFont val="Aptos"/>
      </rPr>
      <t>Managed since 20/07/2026</t>
    </r>
  </si>
  <si>
    <t>USER LAST NAME</t>
  </si>
  <si>
    <t>USER NAME</t>
  </si>
  <si>
    <t>RECEPTION DATE</t>
  </si>
  <si>
    <t>WEEK RD</t>
  </si>
  <si>
    <t>GARCIA MORENO</t>
  </si>
  <si>
    <t>CND24817KF</t>
  </si>
  <si>
    <t>MARTINEZ RUIZ</t>
  </si>
  <si>
    <t>SERRANO VILA</t>
  </si>
  <si>
    <t>CARLA</t>
  </si>
  <si>
    <t>CND17395QX</t>
  </si>
  <si>
    <t>LOPEZ CASTRO</t>
  </si>
  <si>
    <t>PEREZ SANTOS</t>
  </si>
  <si>
    <t>CND30642MT</t>
  </si>
  <si>
    <t>FERNANDEZ GIL</t>
  </si>
  <si>
    <t>MARCOS</t>
  </si>
  <si>
    <t>NAVARRO MARTIN</t>
  </si>
  <si>
    <t>SOFIA</t>
  </si>
  <si>
    <t>RODRIGUEZ VEGA</t>
  </si>
  <si>
    <t>CND21984ZR</t>
  </si>
  <si>
    <t>Awaiting delivery</t>
  </si>
  <si>
    <t>GONZALEZ PEREZ</t>
  </si>
  <si>
    <t>NEREA</t>
  </si>
  <si>
    <t>ALONSO FARIÑA</t>
  </si>
  <si>
    <t>CND28561LP</t>
  </si>
  <si>
    <t>Equipment returned after replacement</t>
  </si>
  <si>
    <t>RAMOS DIAZ</t>
  </si>
  <si>
    <t>TORRES BLANCO</t>
  </si>
  <si>
    <t>Reassigned equipment</t>
  </si>
  <si>
    <t>SOTO MARQUEZ</t>
  </si>
  <si>
    <t>ANA</t>
  </si>
  <si>
    <t>CND31742VW</t>
  </si>
  <si>
    <t>Scheduled for delivery</t>
  </si>
  <si>
    <t>GARCIA SANCHEZ</t>
  </si>
  <si>
    <t>MARTINEZ LOPEZ</t>
  </si>
  <si>
    <t>PEREZ GOMEZ</t>
  </si>
  <si>
    <t>SIM reassigned with equipment</t>
  </si>
  <si>
    <t>FERNANDEZ RUIZ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</si>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</sst>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"/>
    </font>
    <font>
      <b/>
      <sz val="14"/>
      <color rgb="FFFFFFFF"/>
      <name val="Aptos"/>
    </font>
    <font>
      <b/>
      <sz val="12"/>
      <color rgb="FF4285F4"/>
      <name val="Aptos"/>
    </font>
    <font>
      <b/>
      <sz val="12"/>
      <color rgb="FF4285F4"/>
      <name val="Aptos Narrow"/>
      <scheme val="minor"/>
    </font>
    <font>
      <sz val="11"/>
      <color theme="1"/>
      <name val="Aptos Narrow"/>
      <scheme val="minor"/>
    </font>
    <font>
      <b/>
      <sz val="11"/>
      <color rgb="FF000000"/>
      <name val="Aptos"/>
    </font>
    <font>
      <b/>
      <sz val="14"/>
      <color rgb="FF000000"/>
      <name val="Aptos"/>
    </font>
    <font>
      <b/>
      <u/>
      <sz val="12"/>
      <color rgb="FF4285F4"/>
      <name val="Aptos"/>
    </font>
    <font>
      <sz val="11"/>
      <color rgb="FFFFFFFF"/>
      <name val="Aptos Narrow"/>
      <family val="2"/>
      <scheme val="minor"/>
    </font>
    <font>
      <sz val="14"/>
      <color rgb="FFFFFFFF"/>
      <name val="Aptos"/>
    </font>
    <font>
      <sz val="11"/>
      <color theme="1"/>
      <name val="Aptos"/>
    </font>
    <font>
      <b/>
      <sz val="12"/>
      <color rgb="FF4285F4"/>
      <name val="Aptos Narrow"/>
    </font>
    <font>
      <b/>
      <sz val="11"/>
      <color rgb="FF1E2418"/>
      <name val="Aptos"/>
    </font>
    <font>
      <b/>
      <sz val="12"/>
      <color rgb="FF1E2418"/>
      <name val="Aptos Narrow"/>
      <scheme val="minor"/>
    </font>
    <font>
      <b/>
      <sz val="18"/>
      <color rgb="FF000000"/>
      <name val="Aptos Display"/>
    </font>
    <font>
      <u/>
      <sz val="11"/>
      <color theme="10"/>
      <name val="Calibri"/>
      <family val="2"/>
      <scheme val="minor"/>
    </font>
    <font>
      <i/>
      <sz val="9"/>
      <color rgb="FFFFFFFF"/>
      <name val="Aptos"/>
    </font>
    <font>
      <b/>
      <sz val="14"/>
      <color rgb="FFFFFFFF"/>
      <name val="Arial Narrow"/>
    </font>
    <font>
      <b/>
      <sz val="11"/>
      <color theme="1"/>
      <name val="Aptos"/>
    </font>
    <font>
      <sz val="11"/>
      <color rgb="FFFFFFFF"/>
      <name val="Aptos Narrow"/>
    </font>
    <font>
      <b/>
      <u/>
      <sz val="11"/>
      <color rgb="FF000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E2418"/>
        <bgColor indexed="64"/>
      </patternFill>
    </fill>
    <fill>
      <patternFill patternType="solid">
        <fgColor rgb="FFFFFFFF"/>
      </patternFill>
    </fill>
    <fill>
      <patternFill patternType="solid">
        <fgColor rgb="FFFEF6F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171C1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ck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6" fillId="0" borderId="0" xfId="0" applyFont="1"/>
    <xf numFmtId="49" fontId="4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7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1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7" fillId="4" borderId="4" xfId="0" applyNumberFormat="1" applyFont="1" applyFill="1" applyBorder="1" applyAlignment="1">
      <alignment horizontal="center" vertical="center"/>
    </xf>
    <xf numFmtId="1" fontId="7" fillId="4" borderId="11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pivotButton="1" applyFont="1"/>
    <xf numFmtId="1" fontId="12" fillId="0" borderId="0" xfId="0" applyNumberFormat="1" applyFont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13" fillId="3" borderId="0" xfId="0" applyFont="1" applyFill="1" applyAlignment="1">
      <alignment horizontal="center"/>
    </xf>
    <xf numFmtId="1" fontId="3" fillId="2" borderId="0" xfId="0" applyNumberFormat="1" applyFont="1" applyFill="1" applyAlignment="1">
      <alignment vertical="center" wrapText="1"/>
    </xf>
    <xf numFmtId="1" fontId="1" fillId="2" borderId="5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0" xfId="0" pivotButton="1"/>
    <xf numFmtId="0" fontId="3" fillId="2" borderId="8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4" fillId="5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14" fontId="2" fillId="4" borderId="13" xfId="0" applyNumberFormat="1" applyFont="1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2" fillId="4" borderId="11" xfId="0" applyNumberFormat="1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14" fillId="6" borderId="2" xfId="0" applyFont="1" applyFill="1" applyBorder="1" applyAlignment="1">
      <alignment horizontal="center" vertical="center"/>
    </xf>
    <xf numFmtId="14" fontId="2" fillId="8" borderId="4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left" vertical="center"/>
    </xf>
    <xf numFmtId="14" fontId="2" fillId="8" borderId="11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left" vertical="center"/>
    </xf>
    <xf numFmtId="0" fontId="19" fillId="2" borderId="7" xfId="0" applyFont="1" applyFill="1" applyBorder="1" applyAlignment="1">
      <alignment vertic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20" fillId="0" borderId="0" xfId="0" applyFont="1" applyAlignment="1">
      <alignment horizontal="center"/>
    </xf>
    <xf numFmtId="0" fontId="21" fillId="2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12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49" fontId="2" fillId="5" borderId="2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2" xfId="0" quotePrefix="1" applyNumberFormat="1" applyFont="1" applyFill="1" applyBorder="1" applyAlignment="1">
      <alignment horizontal="center" vertical="center"/>
    </xf>
    <xf numFmtId="0" fontId="0" fillId="0" borderId="0" xfId="0" applyFont="1"/>
    <xf numFmtId="0" fontId="3" fillId="2" borderId="5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3" fillId="2" borderId="7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14" fontId="2" fillId="8" borderId="4" xfId="0" applyNumberFormat="1" applyFont="1" applyFill="1" applyBorder="1" applyAlignment="1">
      <alignment horizontal="left" vertical="center"/>
    </xf>
    <xf numFmtId="1" fontId="2" fillId="8" borderId="4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 wrapText="1"/>
    </xf>
    <xf numFmtId="14" fontId="12" fillId="0" borderId="0" xfId="0" applyNumberFormat="1" applyFont="1"/>
    <xf numFmtId="49" fontId="22" fillId="8" borderId="2" xfId="0" applyNumberFormat="1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 vertical="center"/>
    </xf>
    <xf numFmtId="1" fontId="2" fillId="8" borderId="2" xfId="0" applyNumberFormat="1" applyFont="1" applyFill="1" applyBorder="1" applyAlignment="1">
      <alignment horizontal="left" vertical="center"/>
    </xf>
    <xf numFmtId="1" fontId="2" fillId="8" borderId="2" xfId="0" applyNumberFormat="1" applyFont="1" applyFill="1" applyBorder="1" applyAlignment="1">
      <alignment horizontal="left" vertical="center" wrapText="1"/>
    </xf>
    <xf numFmtId="1" fontId="7" fillId="8" borderId="2" xfId="0" applyNumberFormat="1" applyFont="1" applyFill="1" applyBorder="1" applyAlignment="1">
      <alignment horizontal="left" vertical="center"/>
    </xf>
    <xf numFmtId="0" fontId="2" fillId="8" borderId="2" xfId="0" applyNumberFormat="1" applyFont="1" applyFill="1" applyBorder="1" applyAlignment="1">
      <alignment horizontal="left" vertical="center"/>
    </xf>
    <xf numFmtId="0" fontId="2" fillId="8" borderId="2" xfId="0" applyNumberFormat="1" applyFont="1" applyFill="1" applyBorder="1" applyAlignment="1">
      <alignment horizontal="center" vertical="center"/>
    </xf>
    <xf numFmtId="0" fontId="7" fillId="8" borderId="2" xfId="0" applyNumberFormat="1" applyFont="1" applyFill="1" applyBorder="1" applyAlignment="1">
      <alignment horizontal="left" vertical="center"/>
    </xf>
    <xf numFmtId="1" fontId="2" fillId="8" borderId="6" xfId="0" applyNumberFormat="1" applyFont="1" applyFill="1" applyBorder="1" applyAlignment="1">
      <alignment horizontal="center" vertical="center"/>
    </xf>
    <xf numFmtId="14" fontId="2" fillId="8" borderId="6" xfId="0" applyNumberFormat="1" applyFont="1" applyFill="1" applyBorder="1" applyAlignment="1">
      <alignment horizontal="center" vertical="center"/>
    </xf>
    <xf numFmtId="0" fontId="2" fillId="8" borderId="6" xfId="0" applyNumberFormat="1" applyFont="1" applyFill="1" applyBorder="1" applyAlignment="1">
      <alignment horizontal="left" vertical="center"/>
    </xf>
    <xf numFmtId="0" fontId="2" fillId="8" borderId="6" xfId="0" applyNumberFormat="1" applyFont="1" applyFill="1" applyBorder="1" applyAlignment="1">
      <alignment horizontal="center" vertical="center"/>
    </xf>
    <xf numFmtId="0" fontId="7" fillId="8" borderId="6" xfId="0" applyNumberFormat="1" applyFont="1" applyFill="1" applyBorder="1" applyAlignment="1">
      <alignment horizontal="left" vertical="center"/>
    </xf>
    <xf numFmtId="1" fontId="2" fillId="8" borderId="6" xfId="0" applyNumberFormat="1" applyFont="1" applyFill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1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0" formatCode="General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EF6F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indexed="64"/>
          <bgColor rgb="FFFEF6F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241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theme="1"/>
      </font>
      <fill>
        <patternFill patternType="solid">
          <bgColor rgb="FFA6D4A6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EF6F4"/>
      </font>
      <fill>
        <patternFill patternType="solid">
          <bgColor rgb="FF1E2418"/>
        </patternFill>
      </fill>
    </dxf>
    <dxf>
      <font>
        <b/>
        <i val="0"/>
        <color rgb="FF1E2418"/>
      </font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EF6F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indexed="64"/>
          <bgColor rgb="FFFEF6F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1E2418"/>
      </font>
      <fill>
        <patternFill patternType="solid">
          <bgColor rgb="FFE9D27A"/>
        </patternFill>
      </fill>
    </dxf>
    <dxf>
      <font>
        <color rgb="FF1E2418"/>
      </font>
      <fill>
        <patternFill patternType="solid">
          <bgColor theme="4" tint="0.39997558519241921"/>
        </patternFill>
      </fill>
    </dxf>
    <dxf>
      <font>
        <color theme="0"/>
      </font>
      <fill>
        <patternFill patternType="solid">
          <bgColor rgb="FF171C12"/>
        </patternFill>
      </fill>
    </dxf>
    <dxf>
      <font>
        <b/>
        <i val="0"/>
        <color rgb="FFFEF6F4"/>
      </font>
      <fill>
        <patternFill patternType="solid">
          <bgColor rgb="FF1E2418"/>
        </patternFill>
      </fill>
    </dxf>
    <dxf>
      <font>
        <b/>
        <i val="0"/>
        <color rgb="FF1E2418"/>
      </font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rgb="FFE9D27A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color theme="1"/>
      </font>
      <fill>
        <patternFill patternType="solid">
          <bgColor rgb="FFA6D4A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top style="thin">
          <color theme="1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theme="1"/>
      </font>
      <fill>
        <patternFill patternType="solid">
          <bgColor rgb="FFA6D4A6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" formatCode="0"/>
      <fill>
        <patternFill patternType="solid">
          <fgColor indexed="64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rgb="FFE9D27A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color theme="1"/>
      </font>
      <fill>
        <patternFill patternType="solid">
          <bgColor rgb="FFA6D4A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rgb="FFA6D4A6"/>
        </patternFill>
      </fill>
    </dxf>
    <dxf>
      <font>
        <color theme="1"/>
      </font>
      <fill>
        <patternFill patternType="solid">
          <bgColor rgb="FFE9D27A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FAFAFA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0" formatCode="@"/>
      <fill>
        <patternFill patternType="solid">
          <fgColor indexed="64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9" formatCode="dd/mm/yyyy"/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indexed="64"/>
          <bgColor rgb="FFFAFA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indexed="64"/>
          <bgColor rgb="FF1E2418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rgb="FFA6D4A6"/>
        </patternFill>
      </fill>
    </dxf>
    <dxf>
      <font>
        <color theme="1"/>
      </font>
      <fill>
        <patternFill patternType="solid">
          <bgColor rgb="FFEB83C5"/>
        </patternFill>
      </fill>
    </dxf>
    <dxf>
      <font>
        <color theme="1"/>
      </font>
      <fill>
        <patternFill patternType="solid">
          <bgColor rgb="FFE9D27A"/>
        </patternFill>
      </fill>
    </dxf>
    <dxf>
      <font>
        <color theme="1"/>
      </font>
      <fill>
        <patternFill patternType="solid">
          <bgColor rgb="FFC66A6A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color rgb="FF171C12"/>
      </font>
      <fill>
        <patternFill patternType="solid">
          <bgColor theme="2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colors>
    <mruColors>
      <color rgb="FFC66A6A"/>
      <color rgb="FFA6D4A6"/>
      <color rgb="FF171C12"/>
      <color rgb="FFE9D27A"/>
      <color rgb="FFD9E1F2"/>
      <color rgb="FFFAFAFA"/>
      <color rgb="FFC8CBC5"/>
      <color rgb="FFA7ACA3"/>
      <color rgb="FF344E41"/>
      <color rgb="FFD4D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045098263887" createdVersion="8" refreshedVersion="8" minRefreshableVersion="3" recordCount="25" xr:uid="{A45EF282-C25E-401F-AF6E-17300710E675}">
  <cacheSource type="worksheet">
    <worksheetSource name="peripherals_stock"/>
  </cacheSource>
  <cacheFields count="6">
    <cacheField name="REGISTRY DATE" numFmtId="14">
      <sharedItems containsSemiMixedTypes="0" containsNonDate="0" containsDate="1" containsString="0" minDate="2026-06-12T00:00:00" maxDate="2026-07-04T00:00:00"/>
    </cacheField>
    <cacheField name="TYPE" numFmtId="49">
      <sharedItems count="4">
        <s v="Cable"/>
        <s v="Adapter"/>
        <s v="Peripheral"/>
        <s v="HUB"/>
      </sharedItems>
    </cacheField>
    <cacheField name="DETAIL" numFmtId="49">
      <sharedItems count="10">
        <s v="HDMI Cable"/>
        <s v="Network Adapter"/>
        <s v="USB Keyboard"/>
        <s v="USB 3.0 HUB"/>
        <s v="HDMI-VGA Adapter"/>
        <s v="A-B Connection Cable"/>
        <s v="USB Mouse"/>
        <s v="Mini DisplayPort-HDMI Adapter"/>
        <s v="USB-C to HUB (HDTV+VGA+USB)"/>
        <s v="USB Network Adapter"/>
      </sharedItems>
    </cacheField>
    <cacheField name="MODEL" numFmtId="49">
      <sharedItems/>
    </cacheField>
    <cacheField name="MOVEMENT" numFmtId="49">
      <sharedItems/>
    </cacheField>
    <cacheField name="UNIT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045098263887" createdVersion="8" refreshedVersion="8" minRefreshableVersion="3" recordCount="25" xr:uid="{5DCC743E-3252-4D29-8E7A-D5ED1BA7C9E9}">
  <cacheSource type="worksheet">
    <worksheetSource name="stock_out"/>
  </cacheSource>
  <cacheFields count="16">
    <cacheField name="WEEK" numFmtId="1">
      <sharedItems containsSemiMixedTypes="0" containsString="0" containsNumber="1" containsInteger="1" minValue="23" maxValue="25" count="3">
        <n v="23"/>
        <n v="24"/>
        <n v="25"/>
      </sharedItems>
    </cacheField>
    <cacheField name="ASSIGNMENT DATE" numFmtId="14">
      <sharedItems containsSemiMixedTypes="0" containsNonDate="0" containsDate="1" containsString="0" minDate="2026-06-02T00:00:00" maxDate="2026-06-18T00:00:00" count="13"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</sharedItems>
    </cacheField>
    <cacheField name="T" numFmtId="0">
      <sharedItems containsBlank="1" count="4">
        <s v="R"/>
        <s v="F"/>
        <s v="H" u="1"/>
        <m u="1"/>
      </sharedItems>
    </cacheField>
    <cacheField name="TICKET" numFmtId="1">
      <sharedItems containsSemiMixedTypes="0" containsString="0" containsNumber="1" containsInteger="1" minValue="112164" maxValue="112286"/>
    </cacheField>
    <cacheField name="EQUIPMENT" numFmtId="1">
      <sharedItems count="3">
        <s v="Computer"/>
        <s v="Smartphone"/>
        <s v="Dongle"/>
      </sharedItems>
    </cacheField>
    <cacheField name="HOSTNAME" numFmtId="1">
      <sharedItems/>
    </cacheField>
    <cacheField name="IDENTIFIER" numFmtId="1">
      <sharedItems containsMixedTypes="1" containsNumber="1" containsInteger="1" minValue="351355310054127" maxValue="353982372543406"/>
    </cacheField>
    <cacheField name="NEW USER LAST NAME" numFmtId="1">
      <sharedItems/>
    </cacheField>
    <cacheField name="NEW USER FIRST NAME" numFmtId="1">
      <sharedItems/>
    </cacheField>
    <cacheField name="NUMBER" numFmtId="1">
      <sharedItems/>
    </cacheField>
    <cacheField name="SIM" numFmtId="1">
      <sharedItems containsMixedTypes="1" containsNumber="1" containsInteger="1" minValue="8.9340124224470098E+18" maxValue="8.9340124224470098E+18"/>
    </cacheField>
    <cacheField name="PIN" numFmtId="1">
      <sharedItems containsMixedTypes="1" containsNumber="1" containsInteger="1" minValue="1836" maxValue="8452"/>
    </cacheField>
    <cacheField name="PUK" numFmtId="1">
      <sharedItems containsMixedTypes="1" containsNumber="1" containsInteger="1" minValue="31692574" maxValue="93517264"/>
    </cacheField>
    <cacheField name="OFFICE" numFmtId="1">
      <sharedItems/>
    </cacheField>
    <cacheField name="SHIPPING DATE" numFmtId="14">
      <sharedItems containsSemiMixedTypes="0" containsNonDate="0" containsDate="1" containsString="0" minDate="2026-06-02T00:00:00" maxDate="2026-06-18T00:00:00"/>
    </cacheField>
    <cacheField name="NOTES" numFmtId="1">
      <sharedItems containsBlank="1"/>
    </cacheField>
  </cacheFields>
  <extLst>
    <ext xmlns:x14="http://schemas.microsoft.com/office/spreadsheetml/2009/9/main" uri="{725AE2AE-9491-48be-B2B4-4EB974FC3084}">
      <x14:pivotCacheDefinition pivotCacheId="168393888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3.045098263887" createdVersion="8" refreshedVersion="8" minRefreshableVersion="3" recordCount="17" xr:uid="{3B15A171-0013-4727-BEC0-AB4055276D64}">
  <cacheSource type="worksheet">
    <worksheetSource name="stock_in"/>
  </cacheSource>
  <cacheFields count="13">
    <cacheField name="WEEK" numFmtId="1">
      <sharedItems containsSemiMixedTypes="0" containsString="0" containsNumber="1" containsInteger="1" minValue="29" maxValue="31" count="3">
        <n v="29"/>
        <n v="30"/>
        <n v="31"/>
      </sharedItems>
    </cacheField>
    <cacheField name="ASSIGNMENT DATE" numFmtId="14">
      <sharedItems containsSemiMixedTypes="0" containsNonDate="0" containsDate="1" containsString="0" minDate="2026-07-17T00:00:00" maxDate="2026-08-01T00:00:00"/>
    </cacheField>
    <cacheField name="T" numFmtId="14">
      <sharedItems count="3">
        <s v="R"/>
        <s v="F"/>
        <s v="H" u="1"/>
      </sharedItems>
    </cacheField>
    <cacheField name="TICKET" numFmtId="1">
      <sharedItems containsSemiMixedTypes="0" containsString="0" containsNumber="1" containsInteger="1" minValue="116972" maxValue="117059"/>
    </cacheField>
    <cacheField name="OFFICE" numFmtId="0">
      <sharedItems/>
    </cacheField>
    <cacheField name="EQUIPMENT" numFmtId="0">
      <sharedItems/>
    </cacheField>
    <cacheField name="STATUS" numFmtId="0">
      <sharedItems count="2">
        <s v="Received"/>
        <s v="Pending"/>
      </sharedItems>
    </cacheField>
    <cacheField name="USER LAST NAME" numFmtId="0">
      <sharedItems/>
    </cacheField>
    <cacheField name="USER NAME" numFmtId="0">
      <sharedItems/>
    </cacheField>
    <cacheField name="IDENTIFIER" numFmtId="1">
      <sharedItems containsMixedTypes="1" containsNumber="1" containsInteger="1" minValue="350811292604217" maxValue="8.9340130825500396E+18"/>
    </cacheField>
    <cacheField name="RECEPTION DATE" numFmtId="14">
      <sharedItems containsNonDate="0" containsDate="1" containsString="0" containsBlank="1" minDate="2026-07-24T00:00:00" maxDate="2026-08-07T00:00:00"/>
    </cacheField>
    <cacheField name="WEEK RD" numFmtId="0">
      <sharedItems containsString="0" containsBlank="1" containsNumber="1" containsInteger="1" minValue="30" maxValue="32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6-06-12T00:00:00"/>
    <x v="0"/>
    <x v="0"/>
    <s v="SP1-14"/>
    <s v="In"/>
    <s v="24"/>
  </r>
  <r>
    <d v="2026-06-12T00:00:00"/>
    <x v="1"/>
    <x v="1"/>
    <s v="A109-0709"/>
    <s v="In"/>
    <s v="15"/>
  </r>
  <r>
    <d v="2026-06-13T00:00:00"/>
    <x v="2"/>
    <x v="2"/>
    <s v="K120"/>
    <s v="In"/>
    <s v="12"/>
  </r>
  <r>
    <d v="2026-06-13T00:00:00"/>
    <x v="3"/>
    <x v="3"/>
    <s v="MK3763"/>
    <s v="In"/>
    <s v="35"/>
  </r>
  <r>
    <d v="2026-06-14T00:00:00"/>
    <x v="1"/>
    <x v="4"/>
    <s v="421"/>
    <s v="In"/>
    <s v="8"/>
  </r>
  <r>
    <d v="2026-06-15T00:00:00"/>
    <x v="0"/>
    <x v="5"/>
    <s v="AK-300102-018-S"/>
    <s v="In"/>
    <s v="14"/>
  </r>
  <r>
    <d v="2026-06-15T00:00:00"/>
    <x v="2"/>
    <x v="6"/>
    <s v="B100"/>
    <s v="In"/>
    <s v="42"/>
  </r>
  <r>
    <d v="2026-06-16T00:00:00"/>
    <x v="1"/>
    <x v="7"/>
    <s v="X001HRP6KR"/>
    <s v="In"/>
    <s v="6"/>
  </r>
  <r>
    <d v="2026-06-17T00:00:00"/>
    <x v="3"/>
    <x v="8"/>
    <s v="X001WXATDP"/>
    <s v="In"/>
    <s v="11"/>
  </r>
  <r>
    <d v="2026-06-18T00:00:00"/>
    <x v="1"/>
    <x v="9"/>
    <s v="A109-0708"/>
    <s v="In"/>
    <s v="20"/>
  </r>
  <r>
    <d v="2026-06-19T00:00:00"/>
    <x v="3"/>
    <x v="3"/>
    <s v="ZL-8828A"/>
    <s v="In"/>
    <s v="9"/>
  </r>
  <r>
    <d v="2026-06-20T00:00:00"/>
    <x v="2"/>
    <x v="2"/>
    <s v="K120"/>
    <s v="Out"/>
    <s v="-2"/>
  </r>
  <r>
    <d v="2026-06-21T00:00:00"/>
    <x v="0"/>
    <x v="0"/>
    <s v="SP1-14"/>
    <s v="Out"/>
    <s v="-3"/>
  </r>
  <r>
    <d v="2026-06-22T00:00:00"/>
    <x v="1"/>
    <x v="4"/>
    <s v="421"/>
    <s v="Out"/>
    <s v="-1"/>
  </r>
  <r>
    <d v="2026-06-23T00:00:00"/>
    <x v="2"/>
    <x v="6"/>
    <s v="B100"/>
    <s v="Out"/>
    <s v="-5"/>
  </r>
  <r>
    <d v="2026-06-24T00:00:00"/>
    <x v="1"/>
    <x v="1"/>
    <s v="A109-0709"/>
    <s v="Out"/>
    <s v="-2"/>
  </r>
  <r>
    <d v="2026-06-25T00:00:00"/>
    <x v="3"/>
    <x v="3"/>
    <s v="MK3763"/>
    <s v="Out"/>
    <s v="-4"/>
  </r>
  <r>
    <d v="2026-06-26T00:00:00"/>
    <x v="0"/>
    <x v="5"/>
    <s v="AK-300102-018-S"/>
    <s v="Out"/>
    <s v="-1"/>
  </r>
  <r>
    <d v="2026-06-27T00:00:00"/>
    <x v="1"/>
    <x v="9"/>
    <s v="A109-0708"/>
    <s v="Out"/>
    <s v="-3"/>
  </r>
  <r>
    <d v="2026-06-28T00:00:00"/>
    <x v="3"/>
    <x v="8"/>
    <s v="X001WXATDP"/>
    <s v="Out"/>
    <s v="-2"/>
  </r>
  <r>
    <d v="2026-06-29T00:00:00"/>
    <x v="1"/>
    <x v="7"/>
    <s v="X001HRP6KR"/>
    <s v="Out"/>
    <s v="-1"/>
  </r>
  <r>
    <d v="2026-06-30T00:00:00"/>
    <x v="3"/>
    <x v="3"/>
    <s v="ZL-8828A"/>
    <s v="Out"/>
    <s v="-2"/>
  </r>
  <r>
    <d v="2026-07-01T00:00:00"/>
    <x v="2"/>
    <x v="6"/>
    <s v="B100"/>
    <s v="In"/>
    <s v="25"/>
  </r>
  <r>
    <d v="2026-07-02T00:00:00"/>
    <x v="0"/>
    <x v="0"/>
    <s v="SP1-14"/>
    <s v="In"/>
    <s v="16"/>
  </r>
  <r>
    <d v="2026-07-03T00:00:00"/>
    <x v="1"/>
    <x v="4"/>
    <s v="421"/>
    <s v="Out"/>
    <s v="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x v="0"/>
    <x v="0"/>
    <n v="112164"/>
    <x v="0"/>
    <s v="LAP-ALC-0219"/>
    <s v="CND3178KQ4"/>
    <s v="MARTINEZ GARCIA"/>
    <s v="ALBA"/>
    <s v="-"/>
    <s v="-"/>
    <s v="-"/>
    <s v="-"/>
    <s v="Madrid"/>
    <d v="2026-06-02T00:00:00"/>
    <m/>
  </r>
  <r>
    <x v="0"/>
    <x v="0"/>
    <x v="0"/>
    <n v="112171"/>
    <x v="1"/>
    <s v="PC-MAL-0334"/>
    <n v="351355310054127"/>
    <s v="NAVARRO PEREZ"/>
    <s v="DANIEL"/>
    <s v="644 218 573"/>
    <n v="8.9340124224470098E+18"/>
    <n v="6385"/>
    <n v="72491538"/>
    <s v="Valencia"/>
    <d v="2026-06-02T00:00:00"/>
    <m/>
  </r>
  <r>
    <x v="0"/>
    <x v="1"/>
    <x v="1"/>
    <n v="112168"/>
    <x v="0"/>
    <s v="PC-MAD-0247"/>
    <s v="CND2846MTR"/>
    <s v="SANTOS VEIGA"/>
    <s v="LAURA"/>
    <s v="681 493 726"/>
    <n v="8.9340124224470098E+18"/>
    <n v="4172"/>
    <n v="58362491"/>
    <s v="Vigo"/>
    <d v="2026-06-03T00:00:00"/>
    <m/>
  </r>
  <r>
    <x v="0"/>
    <x v="1"/>
    <x v="0"/>
    <n v="112175"/>
    <x v="2"/>
    <s v="LAP-VAL-0183"/>
    <n v="353982372543187"/>
    <s v="ROMERO BLANCO"/>
    <s v="SERGIO"/>
    <s v="-"/>
    <s v="-"/>
    <s v="-"/>
    <s v="-"/>
    <s v="Seville"/>
    <d v="2026-06-03T00:00:00"/>
    <m/>
  </r>
  <r>
    <x v="0"/>
    <x v="2"/>
    <x v="1"/>
    <n v="112181"/>
    <x v="0"/>
    <s v="PC-VIG-0315"/>
    <s v="CND2951PX7"/>
    <s v="CASTRO FERNANDEZ"/>
    <s v="MARTA"/>
    <s v="673 582 914"/>
    <n v="8.9340124224470098E+18"/>
    <n v="2951"/>
    <n v="81643725"/>
    <s v="Bilbao"/>
    <d v="2026-06-04T00:00:00"/>
    <m/>
  </r>
  <r>
    <x v="0"/>
    <x v="2"/>
    <x v="0"/>
    <n v="112184"/>
    <x v="1"/>
    <s v="MOB-BIL-0092"/>
    <n v="351355310054683"/>
    <s v="ALONSO DIAZ"/>
    <s v="HUGO"/>
    <s v="-"/>
    <s v="-"/>
    <s v="-"/>
    <s v="-"/>
    <s v="Zaragoza"/>
    <d v="2026-06-04T00:00:00"/>
    <s v="SIM not required"/>
  </r>
  <r>
    <x v="0"/>
    <x v="3"/>
    <x v="1"/>
    <n v="112190"/>
    <x v="0"/>
    <s v="LAP-BCN-0274"/>
    <s v="CND3087LFW"/>
    <s v="GONZALEZ SOTO"/>
    <s v="IRENE"/>
    <s v="612 745 839"/>
    <n v="8.9340124224470098E+18"/>
    <n v="7514"/>
    <n v="43982617"/>
    <s v="A Coruña"/>
    <d v="2026-06-05T00:00:00"/>
    <m/>
  </r>
  <r>
    <x v="0"/>
    <x v="3"/>
    <x v="0"/>
    <n v="112193"/>
    <x v="0"/>
    <s v="PC-GRA-0168"/>
    <s v="CND2714RVB"/>
    <s v="PRIETO LOPEZ"/>
    <s v="ADRIAN"/>
    <s v="-"/>
    <s v="-"/>
    <s v="-"/>
    <s v="-"/>
    <s v="Valladolid"/>
    <d v="2026-06-05T00:00:00"/>
    <m/>
  </r>
  <r>
    <x v="0"/>
    <x v="4"/>
    <x v="0"/>
    <n v="112199"/>
    <x v="1"/>
    <s v="MOB-SEV-0341"/>
    <n v="351355310055214"/>
    <s v="MORENO RUIZ"/>
    <s v="ELENA"/>
    <s v="698 351 472"/>
    <n v="8.9340124224470098E+18"/>
    <n v="8263"/>
    <n v="59173824"/>
    <s v="Malaga"/>
    <d v="2026-06-06T00:00:00"/>
    <m/>
  </r>
  <r>
    <x v="0"/>
    <x v="5"/>
    <x v="1"/>
    <n v="112205"/>
    <x v="0"/>
    <s v="LAP-MAD-0226"/>
    <s v="CND3196QZS"/>
    <s v="VAZQUEZ MARTIN"/>
    <s v="PABLO"/>
    <s v="625 817 394"/>
    <n v="8.9340124224470098E+18"/>
    <n v="3748"/>
    <n v="92516473"/>
    <s v="Oviedo"/>
    <d v="2026-06-08T00:00:00"/>
    <m/>
  </r>
  <r>
    <x v="1"/>
    <x v="5"/>
    <x v="0"/>
    <n v="112211"/>
    <x v="2"/>
    <s v="PC-OVI-0139"/>
    <n v="353982372543264"/>
    <s v="IGLESIAS RAMOS"/>
    <s v="NURIA"/>
    <s v="-"/>
    <s v="-"/>
    <s v="-"/>
    <s v="-"/>
    <s v="Madrid"/>
    <d v="2026-06-08T00:00:00"/>
    <m/>
  </r>
  <r>
    <x v="1"/>
    <x v="6"/>
    <x v="1"/>
    <n v="112218"/>
    <x v="1"/>
    <s v="MOB-ALI-0285"/>
    <n v="351355310055847"/>
    <s v="MORALES GIL"/>
    <s v="ALVARO"/>
    <s v="659 472 816"/>
    <n v="8.9340124224470098E+18"/>
    <n v="5427"/>
    <n v="67391845"/>
    <s v="Murcia"/>
    <d v="2026-06-09T00:00:00"/>
    <m/>
  </r>
  <r>
    <x v="1"/>
    <x v="6"/>
    <x v="0"/>
    <n v="112221"/>
    <x v="0"/>
    <s v="PC-SDR-0194"/>
    <s v="CND3024HNX"/>
    <s v="ESTEBAN MARQUEZ"/>
    <s v="CLARA"/>
    <s v="-"/>
    <s v="-"/>
    <s v="-"/>
    <s v="-"/>
    <s v="Pamplona"/>
    <d v="2026-06-09T00:00:00"/>
    <m/>
  </r>
  <r>
    <x v="1"/>
    <x v="7"/>
    <x v="1"/>
    <n v="112227"/>
    <x v="0"/>
    <s v="LAP-ZAR-0362"/>
    <s v="CND3268WKP"/>
    <s v="FERNANDEZ CAMPOS"/>
    <s v="DIEGO"/>
    <s v="617 283 945"/>
    <n v="8.9340124224470098E+18"/>
    <n v="1836"/>
    <n v="45271693"/>
    <s v="Salamanca"/>
    <d v="2026-06-10T00:00:00"/>
    <m/>
  </r>
  <r>
    <x v="1"/>
    <x v="7"/>
    <x v="0"/>
    <n v="112231"/>
    <x v="1"/>
    <s v="PC-COR-0251"/>
    <n v="351355310056392"/>
    <s v="RUBIO SERRANO"/>
    <s v="PAULA"/>
    <s v="672 915 438"/>
    <n v="8.9340124224470098E+18"/>
    <n v="6942"/>
    <n v="81732546"/>
    <s v="Alicante"/>
    <d v="2026-06-10T00:00:00"/>
    <m/>
  </r>
  <r>
    <x v="1"/>
    <x v="8"/>
    <x v="1"/>
    <n v="112236"/>
    <x v="0"/>
    <s v="MOB-MUR-0117"/>
    <s v="CND2873BQC"/>
    <s v="MARTIN GOMEZ"/>
    <s v="RAUL"/>
    <s v="634 728 591"/>
    <n v="8.9340124224470098E+18"/>
    <n v="3517"/>
    <n v="62841953"/>
    <s v="Cordoba"/>
    <d v="2026-06-11T00:00:00"/>
    <m/>
  </r>
  <r>
    <x v="1"/>
    <x v="8"/>
    <x v="0"/>
    <n v="112241"/>
    <x v="2"/>
    <s v="LAP-SAL-0293"/>
    <n v="353982372543319"/>
    <s v="HERRERA SANCHEZ"/>
    <s v="LUCIA"/>
    <s v="-"/>
    <s v="-"/>
    <s v="-"/>
    <s v="-"/>
    <s v="Toledo"/>
    <d v="2026-06-11T00:00:00"/>
    <m/>
  </r>
  <r>
    <x v="1"/>
    <x v="9"/>
    <x v="1"/>
    <n v="112247"/>
    <x v="1"/>
    <s v="PC-TOL-0176"/>
    <n v="351355310056874"/>
    <s v="PASCUAL TORRES"/>
    <s v="MARIO"/>
    <s v="646 193 827"/>
    <n v="8.9340124224470098E+18"/>
    <n v="4286"/>
    <n v="93517264"/>
    <s v="Madrid"/>
    <d v="2026-06-12T00:00:00"/>
    <m/>
  </r>
  <r>
    <x v="1"/>
    <x v="9"/>
    <x v="0"/>
    <n v="112252"/>
    <x v="0"/>
    <s v="MOB-PAM-0328"/>
    <s v="CND3145VTR"/>
    <s v="REY CASTILLO"/>
    <s v="SARA"/>
    <s v="-"/>
    <s v="-"/>
    <s v="-"/>
    <s v="-"/>
    <s v="Lugo"/>
    <d v="2026-06-12T00:00:00"/>
    <m/>
  </r>
  <r>
    <x v="2"/>
    <x v="10"/>
    <x v="1"/>
    <n v="112258"/>
    <x v="0"/>
    <s v="LAP-LUG-0145"/>
    <s v="CND3317JMK"/>
    <s v="BLANCO RODRIGUEZ"/>
    <s v="ANDREA"/>
    <s v="683 527 194"/>
    <n v="8.9340124224470098E+18"/>
    <n v="7195"/>
    <n v="48163725"/>
    <s v="Barcelona"/>
    <d v="2026-06-15T00:00:00"/>
    <m/>
  </r>
  <r>
    <x v="2"/>
    <x v="10"/>
    <x v="0"/>
    <n v="112263"/>
    <x v="1"/>
    <s v="PC-OURE-0269"/>
    <n v="351355310057426"/>
    <s v="LOPEZ VILA"/>
    <s v="JAVIER"/>
    <s v="611 839 472"/>
    <n v="8.9340124224470098E+18"/>
    <n v="2638"/>
    <n v="75921483"/>
    <s v="Granada"/>
    <d v="2026-06-15T00:00:00"/>
    <m/>
  </r>
  <r>
    <x v="2"/>
    <x v="11"/>
    <x v="1"/>
    <n v="112269"/>
    <x v="0"/>
    <s v="MOB-PON-0204"/>
    <s v="CND2769ZLP"/>
    <s v="FARIÑA PEREZ"/>
    <s v="NOA"/>
    <s v="695 214 638"/>
    <n v="8.9340124224470098E+18"/>
    <n v="8452"/>
    <n v="31692574"/>
    <s v="Pontevedra"/>
    <d v="2026-06-16T00:00:00"/>
    <m/>
  </r>
  <r>
    <x v="2"/>
    <x v="11"/>
    <x v="0"/>
    <n v="112274"/>
    <x v="2"/>
    <s v="LAP-LEO-0357"/>
    <n v="353982372543406"/>
    <s v="RIVAS MARTINEZ"/>
    <s v="OSCAR"/>
    <s v="-"/>
    <s v="-"/>
    <s v="-"/>
    <s v="-"/>
    <s v="León"/>
    <d v="2026-06-16T00:00:00"/>
    <m/>
  </r>
  <r>
    <x v="2"/>
    <x v="12"/>
    <x v="1"/>
    <n v="112281"/>
    <x v="1"/>
    <s v="PC-SCQ-0128"/>
    <n v="351355310058013"/>
    <s v="CRESPO ALVAREZ"/>
    <s v="EVA"/>
    <s v="628 471 953"/>
    <n v="8.9340124224470098E+18"/>
    <n v="5963"/>
    <n v="84271365"/>
    <s v="Santander"/>
    <d v="2026-06-17T00:00:00"/>
    <m/>
  </r>
  <r>
    <x v="2"/>
    <x v="12"/>
    <x v="0"/>
    <n v="112286"/>
    <x v="0"/>
    <s v="MOB-XAT-0306"/>
    <s v="CND2984XGF"/>
    <s v="DURAN MONTES"/>
    <s v="IVAN"/>
    <s v="-"/>
    <s v="-"/>
    <s v="-"/>
    <s v="-"/>
    <s v="Ourense"/>
    <d v="2026-06-17T00:00:00"/>
    <s v="Equipment reassigned without SI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d v="2026-07-17T00:00:00"/>
    <x v="0"/>
    <n v="116972"/>
    <s v="Madrid"/>
    <s v="Computer"/>
    <x v="0"/>
    <s v="GARCIA MORENO"/>
    <s v="LUCIA"/>
    <s v="CND24817KF"/>
    <d v="2026-07-24T00:00:00"/>
    <n v="30"/>
    <m/>
  </r>
  <r>
    <x v="0"/>
    <d v="2026-07-17T00:00:00"/>
    <x v="0"/>
    <n v="116975"/>
    <s v="Valencia"/>
    <s v="Smartphone"/>
    <x v="0"/>
    <s v="MARTINEZ RUIZ"/>
    <s v="DANIEL"/>
    <n v="350811292604217"/>
    <d v="2026-07-24T00:00:00"/>
    <n v="30"/>
    <m/>
  </r>
  <r>
    <x v="0"/>
    <d v="2026-07-18T00:00:00"/>
    <x v="0"/>
    <n v="116981"/>
    <s v="Bilbao"/>
    <s v="Computer"/>
    <x v="0"/>
    <s v="SERRANO VILA"/>
    <s v="CARLA"/>
    <s v="CND17395QX"/>
    <d v="2026-07-25T00:00:00"/>
    <n v="30"/>
    <m/>
  </r>
  <r>
    <x v="0"/>
    <d v="2026-07-18T00:00:00"/>
    <x v="0"/>
    <n v="116984"/>
    <s v="Granada"/>
    <s v="Dongle"/>
    <x v="0"/>
    <s v="LOPEZ CASTRO"/>
    <s v="JAVIER"/>
    <n v="353982372543318"/>
    <d v="2026-07-25T00:00:00"/>
    <n v="30"/>
    <m/>
  </r>
  <r>
    <x v="0"/>
    <d v="2026-07-20T00:00:00"/>
    <x v="1"/>
    <n v="116990"/>
    <s v="Barcelona"/>
    <s v="Computer"/>
    <x v="0"/>
    <s v="PEREZ SANTOS"/>
    <s v="ELENA"/>
    <s v="CND30642MT"/>
    <d v="2026-07-27T00:00:00"/>
    <n v="31"/>
    <m/>
  </r>
  <r>
    <x v="0"/>
    <d v="2026-07-20T00:00:00"/>
    <x v="0"/>
    <n v="116994"/>
    <s v="Santander"/>
    <s v="Smartphone"/>
    <x v="1"/>
    <s v="FERNANDEZ GIL"/>
    <s v="MARCOS"/>
    <n v="351355310054672"/>
    <d v="2026-07-27T00:00:00"/>
    <n v="31"/>
    <m/>
  </r>
  <r>
    <x v="1"/>
    <d v="2026-07-21T00:00:00"/>
    <x v="0"/>
    <n v="117002"/>
    <s v="Seville"/>
    <s v="SIM"/>
    <x v="1"/>
    <s v="NAVARRO MARTIN"/>
    <s v="SOFIA"/>
    <n v="8.9340130825500303E+18"/>
    <d v="2026-07-28T00:00:00"/>
    <n v="31"/>
    <m/>
  </r>
  <r>
    <x v="1"/>
    <d v="2026-07-22T00:00:00"/>
    <x v="0"/>
    <n v="117008"/>
    <s v="Zaragoza"/>
    <s v="Computer"/>
    <x v="1"/>
    <s v="RODRIGUEZ VEGA"/>
    <s v="PABLO"/>
    <s v="CND21984ZR"/>
    <m/>
    <m/>
    <s v="Awaiting delivery"/>
  </r>
  <r>
    <x v="1"/>
    <d v="2026-07-22T00:00:00"/>
    <x v="0"/>
    <n v="117011"/>
    <s v="Malaga"/>
    <s v="Smartphone"/>
    <x v="0"/>
    <s v="GONZALEZ PEREZ"/>
    <s v="NEREA"/>
    <n v="358587760054731"/>
    <d v="2026-07-29T00:00:00"/>
    <n v="31"/>
    <m/>
  </r>
  <r>
    <x v="1"/>
    <d v="2026-07-23T00:00:00"/>
    <x v="1"/>
    <n v="117017"/>
    <s v="A Coruña"/>
    <s v="Computer"/>
    <x v="0"/>
    <s v="ALONSO FARIÑA"/>
    <s v="DIEGO"/>
    <s v="CND28561LP"/>
    <d v="2026-07-30T00:00:00"/>
    <n v="31"/>
    <s v="Equipment returned after replacement"/>
  </r>
  <r>
    <x v="1"/>
    <d v="2026-07-24T00:00:00"/>
    <x v="0"/>
    <n v="117023"/>
    <s v="Oviedo"/>
    <s v="Dongle"/>
    <x v="0"/>
    <s v="RAMOS DIAZ"/>
    <s v="MARTA"/>
    <n v="353982372543426"/>
    <d v="2026-07-31T00:00:00"/>
    <n v="31"/>
    <m/>
  </r>
  <r>
    <x v="1"/>
    <d v="2026-07-24T00:00:00"/>
    <x v="1"/>
    <n v="117029"/>
    <s v="Murcia"/>
    <s v="Smartphone"/>
    <x v="0"/>
    <s v="TORRES BLANCO"/>
    <s v="ADRIAN"/>
    <n v="350811292604583"/>
    <d v="2026-07-31T00:00:00"/>
    <n v="31"/>
    <s v="Reassigned equipment"/>
  </r>
  <r>
    <x v="2"/>
    <d v="2026-07-27T00:00:00"/>
    <x v="1"/>
    <n v="117036"/>
    <s v="Pamplona"/>
    <s v="Computer"/>
    <x v="1"/>
    <s v="SOTO MARQUEZ"/>
    <s v="ANA"/>
    <s v="CND31742VW"/>
    <m/>
    <m/>
    <s v="Scheduled for delivery"/>
  </r>
  <r>
    <x v="1"/>
    <d v="2026-07-28T00:00:00"/>
    <x v="1"/>
    <n v="117041"/>
    <s v="Madrid"/>
    <s v="SIM"/>
    <x v="0"/>
    <s v="GARCIA SANCHEZ"/>
    <s v="LUCIA"/>
    <n v="8.9340130825500303E+18"/>
    <d v="2026-08-04T00:00:00"/>
    <n v="32"/>
    <m/>
  </r>
  <r>
    <x v="1"/>
    <d v="2026-07-29T00:00:00"/>
    <x v="1"/>
    <n v="117048"/>
    <s v="Valencia"/>
    <s v="SIM"/>
    <x v="0"/>
    <s v="MARTINEZ LOPEZ"/>
    <s v="ADRIAN"/>
    <n v="8.9340130825500303E+18"/>
    <d v="2026-08-05T00:00:00"/>
    <n v="32"/>
    <m/>
  </r>
  <r>
    <x v="1"/>
    <d v="2026-07-30T00:00:00"/>
    <x v="0"/>
    <n v="117053"/>
    <s v="Bilbao"/>
    <s v="SIM"/>
    <x v="0"/>
    <s v="PEREZ GOMEZ"/>
    <s v="NEREA"/>
    <n v="8.9340130825500303E+18"/>
    <d v="2026-08-06T00:00:00"/>
    <n v="32"/>
    <s v="SIM reassigned with equipment"/>
  </r>
  <r>
    <x v="2"/>
    <d v="2026-07-31T00:00:00"/>
    <x v="0"/>
    <n v="117059"/>
    <s v="Granada"/>
    <s v="SIM"/>
    <x v="1"/>
    <s v="FERNANDEZ RUIZ"/>
    <s v="CARLOS"/>
    <n v="8.9340130825500396E+18"/>
    <m/>
    <m/>
    <s v="Awaiting deliv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0A785-A8EF-485D-92B9-7B7F146C7FDD}" name="peripherals_dstock" cacheId="7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4:P23" firstHeaderRow="1" firstDataRow="1" firstDataCol="2"/>
  <pivotFields count="6">
    <pivotField compact="0" numFmtId="14" outline="0" showAll="0" insertBlankRow="1"/>
    <pivotField axis="axisRow" compact="0" outline="0" showAll="0" insertBlankRow="1">
      <items count="5">
        <item x="1"/>
        <item x="0"/>
        <item x="3"/>
        <item x="2"/>
        <item t="default"/>
      </items>
    </pivotField>
    <pivotField axis="axisRow" compact="0" outline="0" showAll="0" insertBlankRow="1">
      <items count="11">
        <item x="5"/>
        <item x="0"/>
        <item x="4"/>
        <item x="7"/>
        <item x="1"/>
        <item x="3"/>
        <item x="2"/>
        <item x="6"/>
        <item x="9"/>
        <item x="8"/>
        <item t="default"/>
      </items>
    </pivotField>
    <pivotField compact="0" outline="0" showAll="0" insertBlankRow="1"/>
    <pivotField compact="0" outline="0" showAll="0" insertBlankRow="1"/>
    <pivotField dataField="1" compact="0" outline="0" showAll="0" insertBlankRow="1"/>
  </pivotFields>
  <rowFields count="2">
    <field x="1"/>
    <field x="2"/>
  </rowFields>
  <rowItems count="19">
    <i>
      <x/>
      <x v="2"/>
    </i>
    <i r="1">
      <x v="3"/>
    </i>
    <i r="1">
      <x v="4"/>
    </i>
    <i r="1">
      <x v="8"/>
    </i>
    <i t="default">
      <x/>
    </i>
    <i t="blank">
      <x/>
    </i>
    <i>
      <x v="1"/>
      <x/>
    </i>
    <i r="1">
      <x v="1"/>
    </i>
    <i t="default">
      <x v="1"/>
    </i>
    <i t="blank">
      <x v="1"/>
    </i>
    <i>
      <x v="2"/>
      <x v="5"/>
    </i>
    <i r="1">
      <x v="9"/>
    </i>
    <i t="default">
      <x v="2"/>
    </i>
    <i t="blank">
      <x v="2"/>
    </i>
    <i>
      <x v="3"/>
      <x v="6"/>
    </i>
    <i r="1">
      <x v="7"/>
    </i>
    <i t="default">
      <x v="3"/>
    </i>
    <i t="blank">
      <x v="3"/>
    </i>
    <i t="grand">
      <x/>
    </i>
  </rowItems>
  <colItems count="1">
    <i/>
  </colItems>
  <dataFields count="1">
    <dataField name="Contar de UNITS" fld="5" subtotal="count" baseField="0" baseItem="0"/>
  </dataFields>
  <formats count="1">
    <format dxfId="1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59F4A-3729-40E0-98BB-7990AB48ABC5}" name="altas_semana" cacheId="721" applyNumberFormats="0" applyBorderFormats="0" applyFontFormats="0" applyPatternFormats="0" applyAlignmentFormats="0" applyWidthHeightFormats="1" dataCaption="Valores" grandTotalCaption="Total" showError="1" missingCaption="" updatedVersion="8" minRefreshableVersion="3" itemPrintTitles="1" createdVersion="8" indent="0" compact="0" compactData="0" multipleFieldFilters="0">
  <location ref="I6:N17" firstHeaderRow="1" firstDataRow="2" firstDataCol="2"/>
  <pivotFields count="16">
    <pivotField axis="axisCol" compact="0" numFmtId="1" outline="0" showAll="0" insertBlankRow="1">
      <items count="4">
        <item x="0"/>
        <item x="1"/>
        <item x="2"/>
        <item t="default"/>
      </items>
    </pivotField>
    <pivotField compact="0" numFmtId="14" outline="0" showAll="0" insertBlankRow="1"/>
    <pivotField name="Technician" axis="axisRow" compact="0" outline="0" showAll="0" insertBlankRow="1">
      <items count="5">
        <item n="Hernán" m="1" x="2"/>
        <item n="R" x="0"/>
        <item m="1" x="3"/>
        <item x="1"/>
        <item t="default"/>
      </items>
    </pivotField>
    <pivotField compact="0" outline="0" showAll="0" insertBlankRow="1"/>
    <pivotField axis="axisRow" dataField="1" compact="0" outline="0" showAll="0" insertBlankRow="1">
      <items count="4">
        <item x="0"/>
        <item x="2"/>
        <item x="1"/>
        <item t="default"/>
      </items>
    </pivotField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numFmtId="14" outline="0" showAll="0" insertBlankRow="1"/>
    <pivotField compact="0" outline="0" showAll="0" insertBlankRow="1"/>
  </pivotFields>
  <rowFields count="2">
    <field x="2"/>
    <field x="4"/>
  </rowFields>
  <rowItems count="10">
    <i>
      <x v="1"/>
      <x/>
    </i>
    <i r="1">
      <x v="1"/>
    </i>
    <i r="1">
      <x v="2"/>
    </i>
    <i t="default">
      <x v="1"/>
    </i>
    <i t="blank">
      <x v="1"/>
    </i>
    <i>
      <x v="3"/>
      <x/>
    </i>
    <i r="1">
      <x v="2"/>
    </i>
    <i t="default">
      <x v="3"/>
    </i>
    <i t="blank"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ntar de EQUIPMENT" fld="4" subtotal="count" baseField="0" baseItem="0"/>
  </dataFields>
  <formats count="12">
    <format dxfId="150">
      <pivotArea grandCol="1" outline="0" collapsedLevelsAreSubtotals="1" fieldPosition="0"/>
    </format>
    <format dxfId="151">
      <pivotArea grandRow="1" grandCol="1" outline="0" collapsedLevelsAreSubtotals="1" fieldPosition="0"/>
    </format>
    <format dxfId="152">
      <pivotArea outline="0" collapsedLevelsAreSubtotals="1" fieldPosition="0"/>
    </format>
    <format dxfId="153">
      <pivotArea type="all" dataOnly="0" outline="0" fieldPosition="0"/>
    </format>
    <format dxfId="154">
      <pivotArea outline="0" collapsedLevelsAreSubtotals="1" fieldPosition="0"/>
    </format>
    <format dxfId="155">
      <pivotArea type="origin" dataOnly="0" labelOnly="1" outline="0" fieldPosition="0"/>
    </format>
    <format dxfId="156">
      <pivotArea type="topRight" dataOnly="0" labelOnly="1" outline="0" fieldPosition="0"/>
    </format>
    <format dxfId="157">
      <pivotArea field="2" type="button" dataOnly="0" labelOnly="1" outline="0" axis="axisRow" fieldPosition="0"/>
    </format>
    <format dxfId="158">
      <pivotArea dataOnly="0" labelOnly="1" grandRow="1" outline="0" fieldPosition="0"/>
    </format>
    <format dxfId="159">
      <pivotArea dataOnly="0" labelOnly="1" grandCol="1" outline="0" fieldPosition="0"/>
    </format>
    <format dxfId="160">
      <pivotArea outline="0" collapsedLevelsAreSubtotals="1" fieldPosition="0"/>
    </format>
    <format dxfId="16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ED57E-64FF-4948-A3FB-2AC8E8882F93}" name="removals_p" cacheId="727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U6:X14" firstHeaderRow="1" firstDataRow="2" firstDataCol="2"/>
  <pivotFields count="13">
    <pivotField axis="axisRow" compact="0" numFmtId="1" outline="0" showAll="0">
      <items count="4">
        <item x="0"/>
        <item x="1"/>
        <item x="2"/>
        <item t="default"/>
      </items>
    </pivotField>
    <pivotField compact="0" numFmtId="14" outline="0" showAll="0"/>
    <pivotField name="Technician" axis="axisRow" compact="0" outline="0" showAll="0">
      <items count="4">
        <item x="1"/>
        <item m="1" x="2"/>
        <item x="0"/>
        <item t="default"/>
      </items>
    </pivotField>
    <pivotField compact="0" numFmtId="1" outline="0" showAll="0"/>
    <pivotField compact="0" outline="0" showAll="0"/>
    <pivotField dataField="1" compact="0" outline="0" showAll="0"/>
    <pivotField axis="axisCol" compact="0" outline="0" showAll="0">
      <items count="3">
        <item x="1"/>
        <item h="1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"/>
    <field x="0"/>
  </rowFields>
  <rowItems count="7">
    <i>
      <x/>
      <x v="2"/>
    </i>
    <i t="default">
      <x/>
    </i>
    <i>
      <x v="2"/>
      <x/>
    </i>
    <i r="1">
      <x v="1"/>
    </i>
    <i r="1">
      <x v="2"/>
    </i>
    <i t="default">
      <x v="2"/>
    </i>
    <i t="grand">
      <x/>
    </i>
  </rowItems>
  <colFields count="1">
    <field x="6"/>
  </colFields>
  <colItems count="2">
    <i>
      <x/>
    </i>
    <i t="grand">
      <x/>
    </i>
  </colItems>
  <dataFields count="1">
    <dataField name="Contar de EQUIPMENT" fld="5" subtotal="count" baseField="0" baseItem="0"/>
  </dataFields>
  <formats count="11">
    <format dxfId="139">
      <pivotArea outline="0" collapsedLevelsAreSubtotals="1" fieldPosition="0"/>
    </format>
    <format dxfId="140">
      <pivotArea dataOnly="0" labelOnly="1" grandCol="1" outline="0" fieldPosition="0"/>
    </format>
    <format dxfId="141">
      <pivotArea outline="0" collapsedLevelsAreSubtotals="1" fieldPosition="0"/>
    </format>
    <format dxfId="142">
      <pivotArea dataOnly="0" labelOnly="1" grandCol="1" outline="0" fieldPosition="0"/>
    </format>
    <format dxfId="143">
      <pivotArea field="0" type="button" dataOnly="0" labelOnly="1" outline="0" axis="axisRow" fieldPosition="1"/>
    </format>
    <format dxfId="144">
      <pivotArea dataOnly="0" labelOnly="1" outline="0" fieldPosition="0">
        <references count="1">
          <reference field="2" count="0"/>
        </references>
      </pivotArea>
    </format>
    <format dxfId="145">
      <pivotArea dataOnly="0" labelOnly="1" outline="0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146">
      <pivotArea dataOnly="0" labelOnly="1" outline="0" fieldPosition="0">
        <references count="2">
          <reference field="0" count="0"/>
          <reference field="2" count="1" selected="0">
            <x v="2"/>
          </reference>
        </references>
      </pivotArea>
    </format>
    <format dxfId="147">
      <pivotArea dataOnly="0" labelOnly="1" outline="0" fieldPosition="0">
        <references count="1">
          <reference field="2" count="1">
            <x v="0"/>
          </reference>
        </references>
      </pivotArea>
    </format>
    <format dxfId="148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149">
      <pivotArea dataOnly="0" labelOnly="1" outline="0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5480A-A912-48D5-AACD-961EF5F26BD8}" name="removals_r" cacheId="727" applyNumberFormats="0" applyBorderFormats="0" applyFontFormats="0" applyPatternFormats="0" applyAlignmentFormats="0" applyWidthHeightFormats="1" dataCaption="Valores" grandTotalCaption="Total" updatedVersion="8" minRefreshableVersion="3" itemPrintTitles="1" createdVersion="8" indent="0" compact="0" compactData="0" multipleFieldFilters="0">
  <location ref="P6:S14" firstHeaderRow="1" firstDataRow="2" firstDataCol="2"/>
  <pivotFields count="13">
    <pivotField axis="axisRow" compact="0" numFmtId="1" outline="0" showAll="0">
      <items count="4">
        <item x="0"/>
        <item x="1"/>
        <item x="2"/>
        <item t="default"/>
      </items>
    </pivotField>
    <pivotField compact="0" numFmtId="14" outline="0" showAll="0"/>
    <pivotField name="Technician" axis="axisRow" compact="0" outline="0" showAll="0">
      <items count="4">
        <item x="1"/>
        <item m="1"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Col" compact="0" outline="0" showAll="0">
      <items count="3"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2"/>
  </rowFields>
  <rowItems count="7">
    <i>
      <x/>
      <x/>
    </i>
    <i r="1">
      <x v="2"/>
    </i>
    <i t="default">
      <x/>
    </i>
    <i>
      <x v="1"/>
      <x/>
    </i>
    <i r="1">
      <x v="2"/>
    </i>
    <i t="default">
      <x v="1"/>
    </i>
    <i t="grand">
      <x/>
    </i>
  </rowItems>
  <colFields count="1">
    <field x="6"/>
  </colFields>
  <colItems count="2">
    <i>
      <x v="1"/>
    </i>
    <i t="grand">
      <x/>
    </i>
  </colItems>
  <dataFields count="1">
    <dataField name="Contar de EQUIPMENT" fld="5" subtotal="count" baseField="0" baseItem="0"/>
  </dataFields>
  <formats count="6">
    <format dxfId="133">
      <pivotArea outline="0" collapsedLevelsAreSubtotals="1" fieldPosition="0"/>
    </format>
    <format dxfId="134">
      <pivotArea dataOnly="0" labelOnly="1" grandCol="1" outline="0" fieldPosition="0"/>
    </format>
    <format dxfId="135">
      <pivotArea dataOnly="0" labelOnly="1" outline="0" fieldPosition="0">
        <references count="1">
          <reference field="0" count="1">
            <x v="0"/>
          </reference>
        </references>
      </pivotArea>
    </format>
    <format dxfId="136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137">
      <pivotArea dataOnly="0" labelOnly="1" outline="0" fieldPosition="0">
        <references count="1">
          <reference field="0" count="1">
            <x v="1"/>
          </reference>
        </references>
      </pivotArea>
    </format>
    <format dxfId="138">
      <pivotArea dataOnly="0" labelOnly="1" outline="0" fieldPosition="0">
        <references count="1">
          <reference field="0" count="1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DB6E-2B9A-4DE6-AC0E-DE8D4157E52C}" name="Táboa dinámica2" cacheId="72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B6:G28" firstHeaderRow="1" firstDataRow="2" firstDataCol="2"/>
  <pivotFields count="16">
    <pivotField compact="0" numFmtId="1" outline="0" showAll="0" insertBlankRow="1"/>
    <pivotField axis="axisRow" dataField="1" compact="0" numFmtId="14" outline="0" showAll="0" insertBlankRow="1">
      <items count="14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t="default"/>
      </items>
    </pivotField>
    <pivotField name="Technician" axis="axisRow" compact="0" outline="0" showAll="0" insertBlankRow="1">
      <items count="5">
        <item n="Hernán" m="1" x="2"/>
        <item n="R" x="0"/>
        <item m="1" x="3"/>
        <item x="1"/>
        <item t="default"/>
      </items>
    </pivotField>
    <pivotField compact="0" outline="0" showAll="0" insertBlankRow="1"/>
    <pivotField axis="axisCol" compact="0" outline="0" showAll="0" insertBlankRow="1">
      <items count="4">
        <item x="0"/>
        <item x="2"/>
        <item x="1"/>
        <item t="default"/>
      </items>
    </pivotField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outline="0" showAll="0" insertBlankRow="1"/>
    <pivotField compact="0" numFmtId="14" outline="0" showAll="0" insertBlankRow="1"/>
    <pivotField compact="0" outline="0" showAll="0" insertBlankRow="1"/>
  </pivotFields>
  <rowFields count="2">
    <field x="1"/>
    <field x="2"/>
  </rowFields>
  <rowItems count="21">
    <i>
      <x v="8"/>
      <x v="1"/>
    </i>
    <i r="1">
      <x v="3"/>
    </i>
    <i t="default">
      <x v="8"/>
    </i>
    <i t="blank">
      <x v="8"/>
    </i>
    <i>
      <x v="9"/>
      <x v="1"/>
    </i>
    <i r="1">
      <x v="3"/>
    </i>
    <i t="default">
      <x v="9"/>
    </i>
    <i t="blank">
      <x v="9"/>
    </i>
    <i>
      <x v="10"/>
      <x v="1"/>
    </i>
    <i r="1">
      <x v="3"/>
    </i>
    <i t="default">
      <x v="10"/>
    </i>
    <i t="blank">
      <x v="10"/>
    </i>
    <i>
      <x v="11"/>
      <x v="1"/>
    </i>
    <i r="1">
      <x v="3"/>
    </i>
    <i t="default">
      <x v="11"/>
    </i>
    <i t="blank">
      <x v="11"/>
    </i>
    <i>
      <x v="12"/>
      <x v="1"/>
    </i>
    <i r="1">
      <x v="3"/>
    </i>
    <i t="default">
      <x v="12"/>
    </i>
    <i t="blank">
      <x v="1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r de ASSIGNMENT DATE" fld="1" subtotal="count" baseField="0" baseItem="0"/>
  </dataFields>
  <formats count="9">
    <format dxfId="124">
      <pivotArea type="all" dataOnly="0" outline="0" fieldPosition="0"/>
    </format>
    <format dxfId="125">
      <pivotArea outline="0" collapsedLevelsAreSubtotals="1" fieldPosition="0"/>
    </format>
    <format dxfId="126">
      <pivotArea type="origin" dataOnly="0" labelOnly="1" outline="0" fieldPosition="0"/>
    </format>
    <format dxfId="127">
      <pivotArea field="2" type="button" dataOnly="0" labelOnly="1" outline="0" axis="axisRow" fieldPosition="1"/>
    </format>
    <format dxfId="128">
      <pivotArea type="topRight" dataOnly="0" labelOnly="1" outline="0" fieldPosition="0"/>
    </format>
    <format dxfId="129">
      <pivotArea dataOnly="0" labelOnly="1" grandRow="1" outline="0" fieldPosition="0"/>
    </format>
    <format dxfId="130">
      <pivotArea dataOnly="0" labelOnly="1" grandCol="1" outline="0" fieldPosition="0"/>
    </format>
    <format dxfId="131">
      <pivotArea outline="0" collapsedLevelsAreSubtotals="1" fieldPosition="0"/>
    </format>
    <format dxfId="1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228C5-65F6-409B-8890-30961DC46662}" name="computers_stock" displayName="computers_stock" ref="A3:F38" totalsRowShown="0" headerRowDxfId="114" dataDxfId="113" headerRowBorderDxfId="111" tableBorderDxfId="112" totalsRowBorderDxfId="110">
  <autoFilter ref="A3:F38" xr:uid="{536228C5-65F6-409B-8890-30961DC46662}"/>
  <sortState xmlns:xlrd2="http://schemas.microsoft.com/office/spreadsheetml/2017/richdata2" ref="A4:F38">
    <sortCondition ref="E3:E38"/>
  </sortState>
  <tableColumns count="6">
    <tableColumn id="1" xr3:uid="{AEC7FA0B-556E-47C6-9CB3-9149AD468CDA}" name="REGISTRY DATE" dataDxfId="109"/>
    <tableColumn id="2" xr3:uid="{9136FA2F-DC5B-446C-82BA-49D63322930A}" name="SN" dataDxfId="108"/>
    <tableColumn id="6" xr3:uid="{D2F0A59D-9359-49FA-83E4-0FD3FB134810}" name="MODEL" dataDxfId="107"/>
    <tableColumn id="3" xr3:uid="{8494583D-29FC-49C9-AF6E-3BF8CDB21B7C}" name="PROFILE" dataDxfId="106"/>
    <tableColumn id="4" xr3:uid="{F766741B-F9C8-43EF-A974-01174C168496}" name="STATUS" dataDxfId="105"/>
    <tableColumn id="5" xr3:uid="{D26F6CC2-5E0A-4E65-8AAB-55B99E11AB70}" name="NOTES" dataDxfId="10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C9C6D5-B057-4C8D-9A0E-972B0F846398}" name="phones_stock" displayName="phones_stock" ref="A3:F28" totalsRowShown="0" headerRowDxfId="100" headerRowBorderDxfId="98" tableBorderDxfId="99" totalsRowBorderDxfId="97">
  <autoFilter ref="A3:F28" xr:uid="{536228C5-65F6-409B-8890-30961DC46662}"/>
  <sortState xmlns:xlrd2="http://schemas.microsoft.com/office/spreadsheetml/2017/richdata2" ref="A4:F25">
    <sortCondition ref="D3:D25"/>
  </sortState>
  <tableColumns count="6">
    <tableColumn id="1" xr3:uid="{089780A8-5D2A-4CF6-AC80-3ADBAE5313CB}" name="REGISTRY DATE" dataDxfId="96"/>
    <tableColumn id="2" xr3:uid="{8891249A-5888-4D52-AF1F-BA6B3896260A}" name="IMEI" dataDxfId="95"/>
    <tableColumn id="9" xr3:uid="{2861AEF0-101C-4912-8E60-7D3E058491E2}" name="SN" dataDxfId="94"/>
    <tableColumn id="3" xr3:uid="{91C9FD85-BFF5-4A9E-903A-4290ECED2902}" name="MODEL" dataDxfId="93"/>
    <tableColumn id="4" xr3:uid="{41E26B98-5B20-447A-8027-7C2FC1F03EBD}" name="STATUS" dataDxfId="92"/>
    <tableColumn id="5" xr3:uid="{DE58B95B-76BE-4445-819A-E410D97FB20A}" name="NOTES" dataDxfId="9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17BD48-4DC3-4199-91AD-238D5658F2C1}" name="dongles_stock" displayName="dongles_stock" ref="A3:F27" totalsRowShown="0" headerRowDxfId="86" dataDxfId="85" headerRowBorderDxfId="83" tableBorderDxfId="84" totalsRowBorderDxfId="82">
  <autoFilter ref="A3:F27" xr:uid="{536228C5-65F6-409B-8890-30961DC46662}"/>
  <sortState xmlns:xlrd2="http://schemas.microsoft.com/office/spreadsheetml/2017/richdata2" ref="A4:F27">
    <sortCondition ref="E3:E27"/>
  </sortState>
  <tableColumns count="6">
    <tableColumn id="1" xr3:uid="{41739022-0991-45F4-914B-DBB0B5C42488}" name="REGISTRY DATE" dataDxfId="81"/>
    <tableColumn id="2" xr3:uid="{6F0B71BB-838E-42A9-83AF-F28DADF4E059}" name="IMEI" dataDxfId="80"/>
    <tableColumn id="3" xr3:uid="{5282D9BB-ACB0-4241-8630-A8455CC96C25}" name="MODEL" dataDxfId="79"/>
    <tableColumn id="8" xr3:uid="{A0DB71F9-F105-4A0B-A100-8F85563B28D6}" name="CONTRASEÑA" dataDxfId="78"/>
    <tableColumn id="4" xr3:uid="{E5DBE0DF-7AB7-4830-B093-BD4B253B0193}" name="STATUS" dataDxfId="77"/>
    <tableColumn id="5" xr3:uid="{A7B60C86-AF5F-4DBF-87A0-12B8B32E4194}" name="NOTES" dataDxfId="7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5196BA-4310-40B7-9DC7-7AE81269FACB}" name="peripherals_stock" displayName="peripherals_stock" ref="A3:F28" totalsRowShown="0" headerRowDxfId="73" headerRowBorderDxfId="71" tableBorderDxfId="72" totalsRowBorderDxfId="70">
  <autoFilter ref="A3:F28" xr:uid="{35DEC285-F4C8-4092-99C2-FD04F43C53D7}"/>
  <sortState xmlns:xlrd2="http://schemas.microsoft.com/office/spreadsheetml/2017/richdata2" ref="A4:F26">
    <sortCondition ref="A3:A26"/>
  </sortState>
  <tableColumns count="6">
    <tableColumn id="1" xr3:uid="{59453BBE-C42C-4D01-BBD8-61C1CD2636EA}" name="REGISTRY DATE" dataDxfId="69"/>
    <tableColumn id="4" xr3:uid="{DA3537B8-E3BC-43FA-B602-534F0A660A36}" name="TYPE" dataDxfId="68"/>
    <tableColumn id="3" xr3:uid="{8FCBD42F-8891-4188-8541-BB11F8C3119F}" name="DETAIL" dataDxfId="67"/>
    <tableColumn id="2" xr3:uid="{D723B9CE-6D8D-4518-9229-384AA2226A19}" name="MODEL" dataDxfId="66"/>
    <tableColumn id="5" xr3:uid="{676CB523-6664-4D20-833E-084D083ECF07}" name="MOVEMENT" dataDxfId="65"/>
    <tableColumn id="6" xr3:uid="{82AA051E-58FC-447B-827F-92A7525E3D1C}" name="UNITS" dataDxfId="6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90633F-B394-4C47-82EB-E7D0C76C84F2}" name="sim_stock" displayName="sim_stock" ref="A3:H27" totalsRowShown="0" headerRowDxfId="60" headerRowBorderDxfId="58" tableBorderDxfId="59" totalsRowBorderDxfId="57">
  <autoFilter ref="A3:H27" xr:uid="{35DEC285-F4C8-4092-99C2-FD04F43C53D7}"/>
  <sortState xmlns:xlrd2="http://schemas.microsoft.com/office/spreadsheetml/2017/richdata2" ref="A4:H27">
    <sortCondition ref="G3:G27"/>
  </sortState>
  <tableColumns count="8">
    <tableColumn id="1" xr3:uid="{E4944143-36D6-4662-8287-841FB243C6F8}" name="REGISTRY DATE" dataDxfId="56"/>
    <tableColumn id="3" xr3:uid="{6B9BDCF2-9DA7-4C65-B21B-9F8043AA7C96}" name="SIM" dataDxfId="55"/>
    <tableColumn id="4" xr3:uid="{8387A731-A93A-4517-A309-CC51C1EE0B81}" name="TYPE" dataDxfId="54"/>
    <tableColumn id="8" xr3:uid="{98F66D7A-D148-455F-B752-AD0CDD8A38FC}" name="NUMBER" dataDxfId="53"/>
    <tableColumn id="2" xr3:uid="{93625A16-45FC-4690-9DC7-10220E0D918A}" name="PIN" dataDxfId="52"/>
    <tableColumn id="6" xr3:uid="{85D4825F-B35F-422A-8CED-C310A35B95F3}" name="PUK" dataDxfId="51"/>
    <tableColumn id="5" xr3:uid="{CF8C06E2-5CC4-4C90-878F-08E0EC700262}" name="STATE" dataDxfId="50"/>
    <tableColumn id="7" xr3:uid="{6D188593-86D4-46D8-8057-E5E1FDAB9343}" name="NOTES" dataDxfId="4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FA2124-4CFD-431C-B938-5DF5A4829399}" name="stock_out" displayName="stock_out" ref="A3:P28" totalsRowShown="0" headerRowDxfId="43" dataDxfId="42" headerRowBorderDxfId="40" tableBorderDxfId="41" totalsRowBorderDxfId="39">
  <autoFilter ref="A3:P28" xr:uid="{76FA2124-4CFD-431C-B938-5DF5A4829399}"/>
  <tableColumns count="16">
    <tableColumn id="17" xr3:uid="{1950A236-DDE9-4367-9C47-781C1ACF53CA}" name="WEEK" dataDxfId="38"/>
    <tableColumn id="1" xr3:uid="{388E08E8-B1AF-4DC6-A618-C507EC462193}" name="ASSIGNMENT DATE" dataDxfId="37"/>
    <tableColumn id="16" xr3:uid="{3E83EB0F-99C0-46F2-806F-9BAF2AB937EC}" name="T" dataDxfId="36"/>
    <tableColumn id="8" xr3:uid="{AA316453-D452-4CFB-BD9F-DC33C6B9258A}" name="TICKET" dataDxfId="35"/>
    <tableColumn id="2" xr3:uid="{BA31B0C8-53D0-4423-9036-D02AFF1122E7}" name="EQUIPMENT" dataDxfId="34"/>
    <tableColumn id="11" xr3:uid="{A28DF444-2672-4793-8E65-A7959FD55CD2}" name="HOSTNAME" dataDxfId="33"/>
    <tableColumn id="7" xr3:uid="{C06E761C-2483-49FE-A350-90B3EF1145AD}" name="IDENTIFIER" dataDxfId="32"/>
    <tableColumn id="3" xr3:uid="{4A1E8F1A-3EC1-4A1A-9906-12C00E93DF29}" name="NEW USER LAST NAME" dataDxfId="31"/>
    <tableColumn id="6" xr3:uid="{DD960DF2-3902-454A-B64E-D7EC6AA9EEB7}" name="NEW USER FIRST NAME" dataDxfId="30"/>
    <tableColumn id="12" xr3:uid="{DE9ACD0F-01C5-4299-A48D-4BB73A407444}" name="NUMBER" dataDxfId="29"/>
    <tableColumn id="13" xr3:uid="{04DAD037-8ADC-44DC-B6FA-89F4A9196214}" name="SIM" dataDxfId="28"/>
    <tableColumn id="14" xr3:uid="{3CBD84CB-28C2-4DB0-940C-21336443FBD1}" name="PIN" dataDxfId="27"/>
    <tableColumn id="15" xr3:uid="{3B95ADD9-3AE5-4EAC-91A6-3ECAD0D08875}" name="PUK" dataDxfId="26"/>
    <tableColumn id="4" xr3:uid="{412CCCA4-B842-4ECE-BE6D-DD71CA41D2BC}" name="OFFICE" dataDxfId="25"/>
    <tableColumn id="10" xr3:uid="{0E4FD16E-8B5C-44AC-BFDA-12FBF854C200}" name="SHIPPING DATE" dataDxfId="24"/>
    <tableColumn id="5" xr3:uid="{21BBCB66-A68B-4FDD-B4C9-F0402997AF14}" name="NOTES" dataDxfId="2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F8EFFF-2581-437F-9D02-62A599595D50}" name="stock_in" displayName="stock_in" ref="A3:M20" totalsRowShown="0" headerRowDxfId="17" dataDxfId="16" headerRowBorderDxfId="14" tableBorderDxfId="15" totalsRowBorderDxfId="13">
  <autoFilter ref="A3:M20" xr:uid="{76FA2124-4CFD-431C-B938-5DF5A4829399}"/>
  <sortState xmlns:xlrd2="http://schemas.microsoft.com/office/spreadsheetml/2017/richdata2" ref="A4:M13">
    <sortCondition ref="E3:E13"/>
  </sortState>
  <tableColumns count="13">
    <tableColumn id="14" xr3:uid="{45FA7F98-C585-4252-97EC-2742ADB00861}" name="WEEK" dataDxfId="12"/>
    <tableColumn id="1" xr3:uid="{C3834C84-8B8D-4BEF-91B9-FB37E3E0DD62}" name="ASSIGNMENT DATE" dataDxfId="11"/>
    <tableColumn id="13" xr3:uid="{8F04659E-89A4-4C7A-A2FE-142AE0A78683}" name="T" dataDxfId="10"/>
    <tableColumn id="8" xr3:uid="{FCA25FC5-68B4-40C1-8C67-7D2BB741593D}" name="TICKET" dataDxfId="9"/>
    <tableColumn id="11" xr3:uid="{828F1011-713B-4FB1-9712-43CE827E41E8}" name="OFFICE" dataDxfId="8"/>
    <tableColumn id="2" xr3:uid="{6A8D5F44-D891-4B63-A3EC-451C2270D279}" name="EQUIPMENT" dataDxfId="7"/>
    <tableColumn id="7" xr3:uid="{AD4CD297-9609-4308-B966-F66C0588902E}" name="STATUS" dataDxfId="6"/>
    <tableColumn id="3" xr3:uid="{51449CF1-DEDA-4F9B-9C55-1060B6ED9980}" name="USER LAST NAME" dataDxfId="5"/>
    <tableColumn id="6" xr3:uid="{E2DC8F0E-DE2B-4B83-8591-E3B9365459F1}" name="USER NAME" dataDxfId="4"/>
    <tableColumn id="10" xr3:uid="{736D47C3-5E1A-49DF-B40E-0C7E642428F0}" name="IDENTIFIER" dataDxfId="3"/>
    <tableColumn id="9" xr3:uid="{FDE627B2-88BA-4B37-9337-2E49ED79A590}" name="RECEPTION DATE" dataDxfId="2"/>
    <tableColumn id="15" xr3:uid="{2D01F4F5-78E4-4F31-B434-61685B21BF22}" name="WEEK RD" dataDxfId="1"/>
    <tableColumn id="5" xr3:uid="{1903EFA6-CD9A-4A0E-B26A-39C40F83299E}" name="NOT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m_stock/" TargetMode="External"/><Relationship Id="rId2" Type="http://schemas.openxmlformats.org/officeDocument/2006/relationships/hyperlink" Target="https://computers_stock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peripherics_stock/" TargetMode="External"/><Relationship Id="rId5" Type="http://schemas.openxmlformats.org/officeDocument/2006/relationships/hyperlink" Target="https://dongles_stock/" TargetMode="External"/><Relationship Id="rId4" Type="http://schemas.openxmlformats.org/officeDocument/2006/relationships/hyperlink" Target="https://phones_stoc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D231-4736-4DAF-B27F-D8A74AD6FBAD}">
  <sheetPr>
    <tabColor rgb="FF171C12"/>
  </sheetPr>
  <dimension ref="A1:BA74"/>
  <sheetViews>
    <sheetView workbookViewId="0">
      <selection activeCell="J17" sqref="J17"/>
    </sheetView>
  </sheetViews>
  <sheetFormatPr defaultRowHeight="15"/>
  <cols>
    <col min="1" max="1" width="3.42578125" customWidth="1"/>
    <col min="2" max="2" width="3.7109375" customWidth="1"/>
    <col min="4" max="4" width="13" customWidth="1"/>
    <col min="6" max="6" width="0" hidden="1" customWidth="1"/>
    <col min="7" max="7" width="5.42578125" customWidth="1"/>
    <col min="8" max="8" width="24.5703125" customWidth="1"/>
    <col min="9" max="9" width="16.85546875" customWidth="1"/>
    <col min="10" max="10" width="15.140625" customWidth="1"/>
    <col min="11" max="11" width="13.42578125" customWidth="1"/>
    <col min="12" max="12" width="17.85546875" customWidth="1"/>
    <col min="13" max="13" width="5.42578125" customWidth="1"/>
    <col min="14" max="14" width="15.7109375" bestFit="1" customWidth="1"/>
    <col min="15" max="15" width="30" customWidth="1"/>
    <col min="16" max="17" width="3.28515625" bestFit="1" customWidth="1"/>
    <col min="18" max="18" width="10.5703125" bestFit="1" customWidth="1"/>
    <col min="19" max="19" width="31.7109375" bestFit="1" customWidth="1"/>
    <col min="20" max="21" width="19" bestFit="1" customWidth="1"/>
    <col min="22" max="23" width="10.5703125" bestFit="1" customWidth="1"/>
    <col min="24" max="24" width="2.28515625" bestFit="1" customWidth="1"/>
    <col min="25" max="25" width="16.85546875" bestFit="1" customWidth="1"/>
    <col min="26" max="26" width="13.7109375" bestFit="1" customWidth="1"/>
    <col min="27" max="27" width="2.28515625" bestFit="1" customWidth="1"/>
    <col min="28" max="28" width="16.85546875" bestFit="1" customWidth="1"/>
    <col min="29" max="29" width="13.7109375" bestFit="1" customWidth="1"/>
    <col min="30" max="30" width="2.28515625" bestFit="1" customWidth="1"/>
    <col min="31" max="31" width="16.85546875" bestFit="1" customWidth="1"/>
    <col min="32" max="32" width="13.7109375" bestFit="1" customWidth="1"/>
    <col min="33" max="33" width="16.85546875" bestFit="1" customWidth="1"/>
    <col min="34" max="34" width="13.7109375" bestFit="1" customWidth="1"/>
    <col min="35" max="35" width="16.85546875" bestFit="1" customWidth="1"/>
    <col min="36" max="36" width="13.7109375" bestFit="1" customWidth="1"/>
    <col min="37" max="37" width="2.28515625" bestFit="1" customWidth="1"/>
    <col min="38" max="38" width="16.85546875" bestFit="1" customWidth="1"/>
    <col min="39" max="39" width="13.7109375" bestFit="1" customWidth="1"/>
    <col min="40" max="40" width="16.85546875" bestFit="1" customWidth="1"/>
    <col min="41" max="41" width="10.5703125" bestFit="1" customWidth="1"/>
    <col min="16381" max="16381" width="9.140625" bestFit="1" customWidth="1"/>
  </cols>
  <sheetData>
    <row r="1" spans="1:46" ht="15.75">
      <c r="A1" s="3"/>
      <c r="B1" s="9"/>
      <c r="C1" s="9"/>
      <c r="D1" s="9"/>
      <c r="E1" s="9"/>
      <c r="F1" s="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6" ht="18.75">
      <c r="A2" s="4"/>
      <c r="B2" s="91" t="s">
        <v>0</v>
      </c>
      <c r="C2" s="92"/>
      <c r="D2" s="92"/>
      <c r="E2" s="92"/>
      <c r="F2" s="92"/>
      <c r="G2" s="4"/>
      <c r="H2" s="74" t="s">
        <v>1</v>
      </c>
      <c r="I2" s="75"/>
      <c r="J2" s="75"/>
      <c r="K2" s="75"/>
      <c r="L2" s="75"/>
      <c r="M2" s="4"/>
      <c r="N2" s="32" t="s">
        <v>2</v>
      </c>
      <c r="O2" s="33"/>
      <c r="P2" s="3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 ht="14.25" customHeight="1">
      <c r="A3" s="4"/>
      <c r="B3" s="10"/>
      <c r="C3" s="9"/>
      <c r="D3" s="9"/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6" ht="14.25" hidden="1" customHeight="1">
      <c r="A4" s="4"/>
      <c r="B4" s="10"/>
      <c r="C4" s="9"/>
      <c r="D4" s="9"/>
      <c r="E4" s="9"/>
      <c r="F4" s="9"/>
      <c r="G4" s="4"/>
      <c r="H4" s="4"/>
      <c r="I4" s="4"/>
      <c r="J4" s="4"/>
      <c r="K4" s="4"/>
      <c r="L4" s="4"/>
      <c r="M4" s="4"/>
      <c r="N4" s="41" t="s">
        <v>3</v>
      </c>
      <c r="O4" s="41" t="s">
        <v>4</v>
      </c>
      <c r="P4" t="s">
        <v>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6" ht="18.75">
      <c r="A5" s="5"/>
      <c r="B5" s="93" t="s">
        <v>6</v>
      </c>
      <c r="C5" s="94"/>
      <c r="D5" s="94"/>
      <c r="E5" s="94"/>
      <c r="F5" s="95"/>
      <c r="G5" s="5"/>
      <c r="H5" s="5"/>
      <c r="I5" s="39" t="s">
        <v>7</v>
      </c>
      <c r="J5" s="39" t="s">
        <v>8</v>
      </c>
      <c r="K5" s="39" t="s">
        <v>9</v>
      </c>
      <c r="L5" s="39" t="s">
        <v>10</v>
      </c>
      <c r="M5" s="5"/>
      <c r="N5" t="s">
        <v>11</v>
      </c>
      <c r="O5" t="s">
        <v>12</v>
      </c>
      <c r="P5" s="71">
        <v>3</v>
      </c>
      <c r="Q5" s="3"/>
      <c r="R5" s="3"/>
      <c r="S5" s="3"/>
      <c r="T5" s="3"/>
      <c r="U5" s="3"/>
      <c r="V5" s="3"/>
      <c r="W5" s="3"/>
      <c r="X5" s="34"/>
      <c r="Y5" s="34"/>
      <c r="Z5" s="34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7"/>
    </row>
    <row r="6" spans="1:46" ht="15.75" customHeight="1">
      <c r="A6" s="4"/>
      <c r="B6" s="104"/>
      <c r="C6" s="104" t="s">
        <v>7</v>
      </c>
      <c r="D6" s="104"/>
      <c r="E6" s="104"/>
      <c r="F6" s="9"/>
      <c r="G6" s="4"/>
      <c r="H6" s="44" t="s">
        <v>13</v>
      </c>
      <c r="I6" s="59">
        <f>COUNTIF(computers_stock[STATUS],"Available - Pending")+COUNTIF(computers_stock[STATUS],"Available - Ready")</f>
        <v>22</v>
      </c>
      <c r="J6" s="59">
        <f>COUNTIF(phones_stock[STATUS],"Available")</f>
        <v>11</v>
      </c>
      <c r="K6" s="59">
        <f>COUNTIF(dongles_stock[STATUS],"Available")</f>
        <v>9</v>
      </c>
      <c r="L6" s="38">
        <f>SUM(I6:K6)</f>
        <v>42</v>
      </c>
      <c r="M6" s="8"/>
      <c r="O6" t="s">
        <v>14</v>
      </c>
      <c r="P6" s="71">
        <v>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6" ht="15.75">
      <c r="A7" s="4"/>
      <c r="B7" s="104"/>
      <c r="C7" s="104" t="s">
        <v>8</v>
      </c>
      <c r="D7" s="104"/>
      <c r="E7" s="104"/>
      <c r="F7" s="3"/>
      <c r="G7" s="4"/>
      <c r="H7" s="45" t="s">
        <v>15</v>
      </c>
      <c r="I7" s="105">
        <f>COUNTIF(computers_stock[STATUS],"Available - Pending")</f>
        <v>10</v>
      </c>
      <c r="J7" s="105" t="s">
        <v>16</v>
      </c>
      <c r="K7" s="105" t="s">
        <v>16</v>
      </c>
      <c r="L7" s="57">
        <f>SUM(I7:K7)</f>
        <v>10</v>
      </c>
      <c r="M7" s="4"/>
      <c r="O7" t="s">
        <v>17</v>
      </c>
      <c r="P7" s="71">
        <v>2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6" ht="15.75">
      <c r="A8" s="4"/>
      <c r="B8" s="104"/>
      <c r="C8" s="104" t="s">
        <v>18</v>
      </c>
      <c r="D8" s="104"/>
      <c r="E8" s="104"/>
      <c r="F8" s="3"/>
      <c r="G8" s="4"/>
      <c r="H8" s="45" t="s">
        <v>19</v>
      </c>
      <c r="I8" s="105">
        <f>COUNTIF(computers_stock[STATUS],"Available - Ready")</f>
        <v>12</v>
      </c>
      <c r="J8" s="105" t="s">
        <v>16</v>
      </c>
      <c r="K8" s="105" t="s">
        <v>16</v>
      </c>
      <c r="L8" s="57">
        <f>SUM(I8:K8)</f>
        <v>12</v>
      </c>
      <c r="M8" s="4"/>
      <c r="O8" t="s">
        <v>20</v>
      </c>
      <c r="P8" s="71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6" ht="15.75">
      <c r="A9" s="4"/>
      <c r="B9" s="104"/>
      <c r="C9" s="104" t="s">
        <v>21</v>
      </c>
      <c r="D9" s="104"/>
      <c r="E9" s="104"/>
      <c r="F9" s="3"/>
      <c r="G9" s="4"/>
      <c r="H9" s="45" t="s">
        <v>22</v>
      </c>
      <c r="I9" s="105">
        <f>COUNTIF(computers_stock[NOTES],"Emergency stock")</f>
        <v>5</v>
      </c>
      <c r="J9" s="105" t="s">
        <v>16</v>
      </c>
      <c r="K9" s="105" t="s">
        <v>16</v>
      </c>
      <c r="L9" s="57">
        <f>SUM(I9:K9)</f>
        <v>5</v>
      </c>
      <c r="M9" s="4"/>
      <c r="N9" t="s">
        <v>23</v>
      </c>
      <c r="P9" s="71">
        <v>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6" ht="15.75">
      <c r="A10" s="4"/>
      <c r="B10" s="104"/>
      <c r="C10" s="104" t="s">
        <v>24</v>
      </c>
      <c r="D10" s="104"/>
      <c r="E10" s="104"/>
      <c r="F10" s="3"/>
      <c r="G10" s="4"/>
      <c r="H10" s="44" t="s">
        <v>25</v>
      </c>
      <c r="I10" s="59">
        <f>COUNTIF(computers_stock[STATUS],"Damaged")</f>
        <v>4</v>
      </c>
      <c r="J10" s="59">
        <f>COUNTIF(phones_stock[STATUS],"Damaged")</f>
        <v>4</v>
      </c>
      <c r="K10" s="59">
        <f>COUNTIF(dongles_stock[STATUS],"Damaged")</f>
        <v>3</v>
      </c>
      <c r="L10" s="38">
        <f>SUM(I10:K10)</f>
        <v>11</v>
      </c>
      <c r="M10" s="4"/>
      <c r="P10" s="71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6" ht="15.75" customHeight="1">
      <c r="A11" s="5"/>
      <c r="B11" s="70"/>
      <c r="C11" s="70"/>
      <c r="D11" s="70"/>
      <c r="E11" s="70"/>
      <c r="F11" s="70"/>
      <c r="G11" s="5"/>
      <c r="H11" s="44" t="s">
        <v>26</v>
      </c>
      <c r="I11" s="59">
        <f>COUNTIF(computers_stock[STATUS],"Reassigned")</f>
        <v>9</v>
      </c>
      <c r="J11" s="59">
        <f>COUNTIF(phones_stock[STATUS],"Reassigned")</f>
        <v>10</v>
      </c>
      <c r="K11" s="59">
        <f>COUNTIF(dongles_stock[STATUS],"Reassigned")</f>
        <v>12</v>
      </c>
      <c r="L11" s="38">
        <f>SUM(I11:K11)</f>
        <v>31</v>
      </c>
      <c r="M11" s="3"/>
      <c r="N11" t="s">
        <v>27</v>
      </c>
      <c r="O11" t="s">
        <v>28</v>
      </c>
      <c r="P11" s="71">
        <v>2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6"/>
      <c r="AN11" s="6"/>
      <c r="AO11" s="6"/>
      <c r="AP11" s="6"/>
      <c r="AQ11" s="6"/>
      <c r="AR11" s="6"/>
      <c r="AS11" s="6"/>
      <c r="AT11" s="7"/>
    </row>
    <row r="12" spans="1:46" ht="18.75">
      <c r="A12" s="4"/>
      <c r="B12" s="76" t="s">
        <v>29</v>
      </c>
      <c r="C12" s="77"/>
      <c r="D12" s="77"/>
      <c r="E12" s="77"/>
      <c r="F12" s="78"/>
      <c r="G12" s="4"/>
      <c r="H12" s="3"/>
      <c r="I12" s="3"/>
      <c r="J12" s="3"/>
      <c r="K12" s="3"/>
      <c r="L12" s="3"/>
      <c r="M12" s="4"/>
      <c r="O12" t="s">
        <v>30</v>
      </c>
      <c r="P12" s="71">
        <v>3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6" ht="15.75" customHeight="1">
      <c r="A13" s="4"/>
      <c r="B13" s="104"/>
      <c r="C13" s="104" t="s">
        <v>31</v>
      </c>
      <c r="D13" s="104"/>
      <c r="E13" s="104"/>
      <c r="F13" s="3"/>
      <c r="G13" s="3"/>
      <c r="H13" s="3"/>
      <c r="I13" s="3"/>
      <c r="J13" s="3"/>
      <c r="K13" s="3"/>
      <c r="L13" s="3"/>
      <c r="M13" s="3"/>
      <c r="N13" t="s">
        <v>32</v>
      </c>
      <c r="P13" s="71">
        <v>5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6" ht="15.75">
      <c r="A14" s="4"/>
      <c r="B14" s="104"/>
      <c r="C14" s="104" t="s">
        <v>33</v>
      </c>
      <c r="D14" s="104"/>
      <c r="E14" s="104"/>
      <c r="F14" s="3"/>
      <c r="G14" s="4"/>
      <c r="H14" s="3"/>
      <c r="I14" s="3"/>
      <c r="J14" s="3"/>
      <c r="K14" s="3"/>
      <c r="L14" s="3"/>
      <c r="M14" s="4"/>
      <c r="P14" s="71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t="s">
        <v>34</v>
      </c>
      <c r="O15" t="s">
        <v>35</v>
      </c>
      <c r="P15" s="71">
        <v>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6" ht="15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t="s">
        <v>36</v>
      </c>
      <c r="P16" s="71">
        <v>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15.75" customHeight="1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t="s">
        <v>37</v>
      </c>
      <c r="P17" s="71">
        <v>6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15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P18" s="71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P18" s="3"/>
      <c r="AQ18" s="3"/>
      <c r="AR18" s="3"/>
      <c r="AS18" s="3"/>
    </row>
    <row r="19" spans="1:45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t="s">
        <v>38</v>
      </c>
      <c r="O19" t="s">
        <v>39</v>
      </c>
      <c r="P19" s="71">
        <v>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P19" s="3"/>
      <c r="AQ19" s="3"/>
      <c r="AR19" s="3"/>
      <c r="AS19" s="3"/>
    </row>
    <row r="20" spans="1:45" ht="15.75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  <c r="O20" t="s">
        <v>40</v>
      </c>
      <c r="P20" s="71">
        <v>3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P20" s="3"/>
      <c r="AQ20" s="3"/>
      <c r="AR20" s="3"/>
      <c r="AS20" s="3"/>
    </row>
    <row r="21" spans="1:45" ht="15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t="s">
        <v>41</v>
      </c>
      <c r="P21" s="71">
        <v>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P21" s="3"/>
      <c r="AQ21" s="3"/>
      <c r="AR21" s="3"/>
      <c r="AS21" s="3"/>
    </row>
    <row r="22" spans="1:45" ht="15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P22" s="7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P22" s="3"/>
      <c r="AQ22" s="3"/>
      <c r="AR22" s="3"/>
      <c r="AS22" s="3"/>
    </row>
    <row r="23" spans="1:45" ht="15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t="s">
        <v>42</v>
      </c>
      <c r="P23" s="71">
        <v>25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P23" s="3"/>
      <c r="AQ23" s="3"/>
      <c r="AR23" s="3"/>
      <c r="AS23" s="3"/>
    </row>
    <row r="24" spans="1:45" ht="15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P24" s="3"/>
      <c r="AQ24" s="3"/>
      <c r="AR24" s="3"/>
      <c r="AS24" s="3"/>
    </row>
    <row r="25" spans="1:45" ht="15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P25" s="3"/>
      <c r="AQ25" s="3"/>
      <c r="AR25" s="3"/>
      <c r="AS25" s="3"/>
    </row>
    <row r="26" spans="1:45" ht="15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P26" s="3"/>
      <c r="AQ26" s="3"/>
      <c r="AR26" s="3"/>
      <c r="AS26" s="3"/>
    </row>
    <row r="27" spans="1:45" ht="15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P27" s="3"/>
      <c r="AQ27" s="3"/>
      <c r="AR27" s="3"/>
      <c r="AS27" s="3"/>
    </row>
    <row r="28" spans="1:45" ht="15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P28" s="3"/>
      <c r="AQ28" s="3"/>
      <c r="AR28" s="3"/>
      <c r="AS28" s="3"/>
    </row>
    <row r="29" spans="1:45" ht="15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P29" s="3"/>
      <c r="AQ29" s="3"/>
      <c r="AR29" s="3"/>
      <c r="AS29" s="3"/>
    </row>
    <row r="30" spans="1:45" ht="15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P30" s="3"/>
      <c r="AQ30" s="3"/>
      <c r="AR30" s="3"/>
      <c r="AS30" s="3"/>
    </row>
    <row r="31" spans="1:45" ht="15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P31" s="3"/>
      <c r="AQ31" s="3"/>
      <c r="AR31" s="3"/>
      <c r="AS31" s="3"/>
    </row>
    <row r="32" spans="1:45" ht="15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P32" s="3"/>
      <c r="AQ32" s="3"/>
      <c r="AR32" s="3"/>
      <c r="AS32" s="3"/>
    </row>
    <row r="33" spans="1:53" ht="15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P33" s="3"/>
      <c r="AQ33" s="3"/>
      <c r="AR33" s="3"/>
      <c r="AS33" s="3"/>
    </row>
    <row r="34" spans="1:53" ht="15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53" ht="15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53" ht="15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53" ht="15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53" ht="15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53" ht="15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53" ht="15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53" ht="15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</row>
    <row r="42" spans="1:53" ht="15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</row>
    <row r="43" spans="1:53" ht="15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 spans="1:53" ht="15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</row>
    <row r="45" spans="1:53" ht="15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</row>
    <row r="46" spans="1:53" ht="15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3" ht="15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</row>
    <row r="48" spans="1:53" ht="15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</row>
    <row r="49" spans="1:53" ht="15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</row>
    <row r="50" spans="1:53" ht="15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</row>
    <row r="51" spans="1:53" ht="15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</row>
    <row r="52" spans="1:53" ht="15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 spans="1:53" ht="15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</row>
    <row r="54" spans="1:53" ht="15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</row>
    <row r="55" spans="1:53" ht="15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53" ht="15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 spans="1:53" ht="15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</row>
    <row r="58" spans="1:53" ht="15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</row>
    <row r="59" spans="1:53" ht="15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</row>
    <row r="60" spans="1:53" ht="15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 spans="1:53" ht="15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</row>
    <row r="62" spans="1:53" ht="15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</row>
    <row r="63" spans="1:53" ht="15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</row>
    <row r="64" spans="1:53" ht="15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 spans="1:53" ht="15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</row>
    <row r="66" spans="1:53" ht="15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</row>
    <row r="67" spans="1:53" ht="15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53" ht="15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53" ht="15.75"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53" ht="15.75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53" ht="15.75"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53" ht="15.75"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53" ht="15.75"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53" ht="15.75"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</sheetData>
  <mergeCells count="2">
    <mergeCell ref="B2:F2"/>
    <mergeCell ref="B5:F5"/>
  </mergeCells>
  <conditionalFormatting sqref="I6:K6">
    <cfRule type="expression" dxfId="123" priority="4">
      <formula>$F6="Emergency stock"</formula>
    </cfRule>
  </conditionalFormatting>
  <conditionalFormatting sqref="I10:K11">
    <cfRule type="expression" dxfId="122" priority="3">
      <formula>$F10="Emergency stock"</formula>
    </cfRule>
  </conditionalFormatting>
  <conditionalFormatting sqref="B6:E10">
    <cfRule type="expression" dxfId="121" priority="2">
      <formula>$F6="Emergency stock"</formula>
    </cfRule>
  </conditionalFormatting>
  <conditionalFormatting sqref="B13:E14">
    <cfRule type="expression" dxfId="120" priority="1">
      <formula>$F13="Emergency stock"</formula>
    </cfRule>
  </conditionalFormatting>
  <hyperlinks>
    <hyperlink ref="C8:D8" location="inventario_pinchos" display="Pinchos" xr:uid="{F329DB2B-A49F-4D9D-90DC-B78DC7155F91}"/>
    <hyperlink ref="C7:D7" location="inventario_mobiles" display="Móbiles" xr:uid="{7F81E0B4-DC72-4D53-9403-66214F9BFD9B}"/>
    <hyperlink ref="C6:D6" r:id="rId2" display="Computers" xr:uid="{4C9526A4-AFC7-4BC5-B562-636762DF0223}"/>
    <hyperlink ref="C9:D9" location="inventario_perifericos" display="Periféricos" xr:uid="{4D052517-D565-4E4E-9773-5C28A5203B39}"/>
    <hyperlink ref="C14:D14" location="reasignacions_altas" display="Altas" xr:uid="{D7D4B78A-7E6B-489B-9339-0C6C829F5F47}"/>
    <hyperlink ref="C13:D13" location="reasignacions_cambios" display="Cambios" xr:uid="{CC1A660C-4E3F-4D2E-95BC-0E6ABFA36BF9}"/>
    <hyperlink ref="C10" r:id="rId3" xr:uid="{5C310E9F-CADB-45BB-9E60-0C331A2CDF55}"/>
    <hyperlink ref="C7" r:id="rId4" xr:uid="{3FB550F7-F392-4C5D-A55F-B7AE24A9F2BB}"/>
    <hyperlink ref="C8" r:id="rId5" xr:uid="{D60045E6-8775-4E13-90CE-1BC96890943F}"/>
    <hyperlink ref="C9" r:id="rId6" xr:uid="{919BEE85-3221-4EF5-A8FE-E8C5A7ED27D8}"/>
  </hyperlink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D157-2C44-4F9E-9668-C44BF418B651}">
  <sheetPr>
    <tabColor rgb="FF171C12"/>
  </sheetPr>
  <dimension ref="B1:AZ58"/>
  <sheetViews>
    <sheetView workbookViewId="0">
      <selection activeCell="AC17" sqref="AC17"/>
    </sheetView>
  </sheetViews>
  <sheetFormatPr defaultRowHeight="15"/>
  <cols>
    <col min="1" max="1" width="2.85546875" customWidth="1"/>
    <col min="2" max="2" width="13.85546875" bestFit="1" customWidth="1"/>
    <col min="3" max="3" width="15" style="81" bestFit="1" customWidth="1"/>
    <col min="4" max="4" width="11.28515625" bestFit="1" customWidth="1"/>
    <col min="5" max="5" width="8" bestFit="1" customWidth="1"/>
    <col min="6" max="6" width="13.85546875" customWidth="1"/>
    <col min="7" max="7" width="13.7109375" customWidth="1"/>
    <col min="8" max="8" width="5.140625" customWidth="1"/>
    <col min="9" max="9" width="16.42578125" customWidth="1"/>
    <col min="10" max="10" width="13.7109375" customWidth="1"/>
    <col min="11" max="11" width="3.42578125" customWidth="1"/>
    <col min="12" max="13" width="3.42578125" bestFit="1" customWidth="1"/>
    <col min="14" max="14" width="11.5703125" customWidth="1"/>
    <col min="15" max="15" width="13.85546875" customWidth="1"/>
    <col min="16" max="16" width="9.85546875" customWidth="1"/>
    <col min="17" max="17" width="13.140625" customWidth="1"/>
    <col min="18" max="19" width="13.7109375" customWidth="1"/>
    <col min="20" max="20" width="5.7109375" customWidth="1"/>
    <col min="21" max="21" width="12.7109375" customWidth="1"/>
    <col min="22" max="22" width="12.28515625" customWidth="1"/>
    <col min="23" max="23" width="8.28515625" bestFit="1" customWidth="1"/>
    <col min="24" max="24" width="5.7109375" bestFit="1" customWidth="1"/>
  </cols>
  <sheetData>
    <row r="1" spans="2:24" ht="14.25" customHeight="1"/>
    <row r="2" spans="2:24" ht="24">
      <c r="B2" s="96" t="s">
        <v>43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P2" s="96" t="s">
        <v>44</v>
      </c>
      <c r="Q2" s="96"/>
      <c r="R2" s="96"/>
      <c r="S2" s="96"/>
      <c r="T2" s="79"/>
    </row>
    <row r="3" spans="2:24" ht="14.25" customHeight="1">
      <c r="Q3" s="81"/>
    </row>
    <row r="4" spans="2:24" ht="18.75">
      <c r="B4" s="75" t="s">
        <v>45</v>
      </c>
      <c r="C4" s="42"/>
      <c r="D4" s="75"/>
      <c r="E4" s="75"/>
      <c r="F4" s="75"/>
      <c r="G4" s="75"/>
      <c r="H4" s="27"/>
      <c r="I4" s="74" t="s">
        <v>46</v>
      </c>
      <c r="J4" s="75"/>
      <c r="K4" s="75"/>
      <c r="L4" s="75"/>
      <c r="M4" s="75"/>
      <c r="N4" s="75"/>
      <c r="P4" s="75" t="s">
        <v>47</v>
      </c>
      <c r="Q4" s="42"/>
      <c r="R4" s="75"/>
      <c r="S4" s="75"/>
      <c r="T4" s="75"/>
      <c r="U4" s="75"/>
      <c r="V4" s="75"/>
      <c r="W4" s="75"/>
      <c r="X4" s="75"/>
    </row>
    <row r="5" spans="2:24">
      <c r="B5" s="30"/>
      <c r="C5" s="30"/>
      <c r="D5" s="30"/>
      <c r="E5" s="27"/>
      <c r="F5" s="27"/>
      <c r="G5" s="27"/>
      <c r="H5" s="27"/>
      <c r="I5" s="30"/>
      <c r="J5" s="27"/>
      <c r="K5" s="27"/>
      <c r="L5" s="27"/>
      <c r="M5" s="27"/>
      <c r="N5" s="27"/>
    </row>
    <row r="6" spans="2:24" hidden="1">
      <c r="B6" s="28" t="s">
        <v>48</v>
      </c>
      <c r="C6" s="27"/>
      <c r="D6" s="28" t="s">
        <v>49</v>
      </c>
      <c r="E6" s="27"/>
      <c r="F6" s="27"/>
      <c r="G6" s="27"/>
      <c r="H6" s="27"/>
      <c r="I6" s="28" t="s">
        <v>50</v>
      </c>
      <c r="J6" s="27"/>
      <c r="K6" s="28" t="s">
        <v>51</v>
      </c>
      <c r="L6" s="27"/>
      <c r="M6" s="27"/>
      <c r="N6" s="27"/>
      <c r="O6" s="27"/>
      <c r="P6" s="41" t="s">
        <v>50</v>
      </c>
      <c r="R6" s="41" t="s">
        <v>52</v>
      </c>
      <c r="U6" s="41" t="s">
        <v>50</v>
      </c>
      <c r="W6" s="41" t="s">
        <v>52</v>
      </c>
    </row>
    <row r="7" spans="2:24">
      <c r="B7" s="28" t="s">
        <v>53</v>
      </c>
      <c r="C7" s="28" t="s">
        <v>54</v>
      </c>
      <c r="D7" s="27" t="s">
        <v>55</v>
      </c>
      <c r="E7" s="27" t="s">
        <v>56</v>
      </c>
      <c r="F7" s="27" t="s">
        <v>57</v>
      </c>
      <c r="G7" s="30" t="s">
        <v>42</v>
      </c>
      <c r="H7" s="30"/>
      <c r="I7" s="28" t="s">
        <v>54</v>
      </c>
      <c r="J7" s="28" t="s">
        <v>49</v>
      </c>
      <c r="K7" s="29">
        <v>23</v>
      </c>
      <c r="L7" s="29">
        <v>24</v>
      </c>
      <c r="M7" s="29">
        <v>25</v>
      </c>
      <c r="N7" s="31" t="s">
        <v>10</v>
      </c>
      <c r="O7" s="31"/>
      <c r="P7" s="41" t="s">
        <v>51</v>
      </c>
      <c r="Q7" s="41" t="s">
        <v>54</v>
      </c>
      <c r="R7" t="s">
        <v>58</v>
      </c>
      <c r="S7" s="81" t="s">
        <v>10</v>
      </c>
      <c r="T7" s="81"/>
      <c r="U7" s="41" t="s">
        <v>54</v>
      </c>
      <c r="V7" s="47" t="s">
        <v>51</v>
      </c>
      <c r="W7" t="s">
        <v>59</v>
      </c>
      <c r="X7" s="23" t="s">
        <v>10</v>
      </c>
    </row>
    <row r="8" spans="2:24">
      <c r="B8" s="103">
        <v>46184</v>
      </c>
      <c r="C8" s="27" t="s">
        <v>60</v>
      </c>
      <c r="D8" s="73"/>
      <c r="E8" s="73">
        <v>1</v>
      </c>
      <c r="F8" s="73"/>
      <c r="G8" s="73">
        <v>1</v>
      </c>
      <c r="H8" s="73"/>
      <c r="I8" s="27" t="s">
        <v>60</v>
      </c>
      <c r="J8" s="27" t="s">
        <v>55</v>
      </c>
      <c r="K8" s="73">
        <v>2</v>
      </c>
      <c r="L8" s="73">
        <v>2</v>
      </c>
      <c r="M8" s="73">
        <v>1</v>
      </c>
      <c r="N8" s="73">
        <v>5</v>
      </c>
      <c r="O8" s="30"/>
      <c r="P8" s="37">
        <v>29</v>
      </c>
      <c r="Q8" t="s">
        <v>61</v>
      </c>
      <c r="R8" s="71">
        <v>1</v>
      </c>
      <c r="S8" s="71">
        <v>1</v>
      </c>
      <c r="T8" s="71"/>
      <c r="U8" s="11" t="s">
        <v>61</v>
      </c>
      <c r="V8" s="37">
        <v>31</v>
      </c>
      <c r="W8" s="72">
        <v>1</v>
      </c>
      <c r="X8" s="72">
        <v>1</v>
      </c>
    </row>
    <row r="9" spans="2:24">
      <c r="B9" s="27"/>
      <c r="C9" s="27" t="s">
        <v>61</v>
      </c>
      <c r="D9" s="73">
        <v>1</v>
      </c>
      <c r="E9" s="73"/>
      <c r="F9" s="73"/>
      <c r="G9" s="73">
        <v>1</v>
      </c>
      <c r="H9" s="73"/>
      <c r="I9" s="27"/>
      <c r="J9" s="27" t="s">
        <v>56</v>
      </c>
      <c r="K9" s="73">
        <v>1</v>
      </c>
      <c r="L9" s="73">
        <v>2</v>
      </c>
      <c r="M9" s="73">
        <v>1</v>
      </c>
      <c r="N9" s="73">
        <v>4</v>
      </c>
      <c r="O9" s="30"/>
      <c r="P9" s="81"/>
      <c r="Q9" t="s">
        <v>60</v>
      </c>
      <c r="R9" s="71">
        <v>4</v>
      </c>
      <c r="S9" s="71">
        <v>4</v>
      </c>
      <c r="T9" s="71"/>
      <c r="U9" s="11" t="s">
        <v>62</v>
      </c>
      <c r="V9" s="81"/>
      <c r="W9" s="72">
        <v>1</v>
      </c>
      <c r="X9" s="72">
        <v>1</v>
      </c>
    </row>
    <row r="10" spans="2:24">
      <c r="B10" s="103" t="s">
        <v>63</v>
      </c>
      <c r="C10" s="27"/>
      <c r="D10" s="73">
        <v>1</v>
      </c>
      <c r="E10" s="73">
        <v>1</v>
      </c>
      <c r="F10" s="73"/>
      <c r="G10" s="73">
        <v>2</v>
      </c>
      <c r="H10" s="73"/>
      <c r="I10" s="27"/>
      <c r="J10" s="27" t="s">
        <v>57</v>
      </c>
      <c r="K10" s="73">
        <v>3</v>
      </c>
      <c r="L10" s="73">
        <v>1</v>
      </c>
      <c r="M10" s="73">
        <v>1</v>
      </c>
      <c r="N10" s="73">
        <v>5</v>
      </c>
      <c r="O10" s="30"/>
      <c r="P10" s="37" t="s">
        <v>64</v>
      </c>
      <c r="Q10" s="81"/>
      <c r="R10" s="71">
        <v>5</v>
      </c>
      <c r="S10" s="71">
        <v>5</v>
      </c>
      <c r="T10" s="71"/>
      <c r="U10" s="11" t="s">
        <v>60</v>
      </c>
      <c r="V10" s="37">
        <v>29</v>
      </c>
      <c r="W10" s="72">
        <v>1</v>
      </c>
      <c r="X10" s="72">
        <v>1</v>
      </c>
    </row>
    <row r="11" spans="2:24">
      <c r="B11" s="103"/>
      <c r="C11" s="27"/>
      <c r="D11" s="73"/>
      <c r="E11" s="73"/>
      <c r="F11" s="73"/>
      <c r="G11" s="73"/>
      <c r="H11" s="73"/>
      <c r="I11" s="27" t="s">
        <v>65</v>
      </c>
      <c r="J11" s="27"/>
      <c r="K11" s="73">
        <v>6</v>
      </c>
      <c r="L11" s="73">
        <v>5</v>
      </c>
      <c r="M11" s="73">
        <v>3</v>
      </c>
      <c r="N11" s="73">
        <v>14</v>
      </c>
      <c r="O11" s="30"/>
      <c r="P11" s="37">
        <v>30</v>
      </c>
      <c r="Q11" t="s">
        <v>61</v>
      </c>
      <c r="R11" s="71">
        <v>4</v>
      </c>
      <c r="S11" s="71">
        <v>4</v>
      </c>
      <c r="T11" s="71"/>
      <c r="U11" s="11"/>
      <c r="V11" s="37">
        <v>30</v>
      </c>
      <c r="W11" s="72">
        <v>2</v>
      </c>
      <c r="X11" s="72">
        <v>2</v>
      </c>
    </row>
    <row r="12" spans="2:24">
      <c r="B12" s="103">
        <v>46185</v>
      </c>
      <c r="C12" s="27" t="s">
        <v>60</v>
      </c>
      <c r="D12" s="73">
        <v>1</v>
      </c>
      <c r="E12" s="73"/>
      <c r="F12" s="73"/>
      <c r="G12" s="73">
        <v>1</v>
      </c>
      <c r="H12" s="73"/>
      <c r="I12" s="27"/>
      <c r="J12" s="27"/>
      <c r="K12" s="73"/>
      <c r="L12" s="73"/>
      <c r="M12" s="73"/>
      <c r="N12" s="73"/>
      <c r="O12" s="30"/>
      <c r="P12" s="81"/>
      <c r="Q12" t="s">
        <v>60</v>
      </c>
      <c r="R12" s="71">
        <v>3</v>
      </c>
      <c r="S12" s="71">
        <v>3</v>
      </c>
      <c r="T12" s="71"/>
      <c r="U12" s="11"/>
      <c r="V12" s="37">
        <v>31</v>
      </c>
      <c r="W12" s="72">
        <v>1</v>
      </c>
      <c r="X12" s="72">
        <v>1</v>
      </c>
    </row>
    <row r="13" spans="2:24">
      <c r="B13" s="27"/>
      <c r="C13" s="27" t="s">
        <v>61</v>
      </c>
      <c r="D13" s="73"/>
      <c r="E13" s="73"/>
      <c r="F13" s="73">
        <v>1</v>
      </c>
      <c r="G13" s="73">
        <v>1</v>
      </c>
      <c r="H13" s="73"/>
      <c r="I13" s="27" t="s">
        <v>61</v>
      </c>
      <c r="J13" s="27" t="s">
        <v>55</v>
      </c>
      <c r="K13" s="73">
        <v>4</v>
      </c>
      <c r="L13" s="73">
        <v>2</v>
      </c>
      <c r="M13" s="73">
        <v>2</v>
      </c>
      <c r="N13" s="73">
        <v>8</v>
      </c>
      <c r="O13" s="30"/>
      <c r="P13" s="37" t="s">
        <v>66</v>
      </c>
      <c r="Q13" s="81"/>
      <c r="R13" s="71">
        <v>7</v>
      </c>
      <c r="S13" s="71">
        <v>7</v>
      </c>
      <c r="T13" s="71"/>
      <c r="U13" t="s">
        <v>65</v>
      </c>
      <c r="W13" s="72">
        <v>4</v>
      </c>
      <c r="X13" s="72">
        <v>4</v>
      </c>
    </row>
    <row r="14" spans="2:24">
      <c r="B14" s="103" t="s">
        <v>67</v>
      </c>
      <c r="C14" s="27"/>
      <c r="D14" s="73">
        <v>1</v>
      </c>
      <c r="E14" s="73"/>
      <c r="F14" s="73">
        <v>1</v>
      </c>
      <c r="G14" s="73">
        <v>2</v>
      </c>
      <c r="H14" s="73"/>
      <c r="I14" s="27"/>
      <c r="J14" s="27" t="s">
        <v>57</v>
      </c>
      <c r="K14" s="73"/>
      <c r="L14" s="73">
        <v>2</v>
      </c>
      <c r="M14" s="73">
        <v>1</v>
      </c>
      <c r="N14" s="73">
        <v>3</v>
      </c>
      <c r="O14" s="30"/>
      <c r="P14" s="21" t="s">
        <v>10</v>
      </c>
      <c r="R14" s="71">
        <v>12</v>
      </c>
      <c r="S14" s="71">
        <v>12</v>
      </c>
      <c r="T14" s="71"/>
      <c r="U14" t="s">
        <v>10</v>
      </c>
      <c r="W14" s="72">
        <v>5</v>
      </c>
      <c r="X14" s="72">
        <v>5</v>
      </c>
    </row>
    <row r="15" spans="2:24">
      <c r="B15" s="103"/>
      <c r="C15" s="27"/>
      <c r="D15" s="73"/>
      <c r="E15" s="73"/>
      <c r="F15" s="73"/>
      <c r="G15" s="73"/>
      <c r="H15" s="73"/>
      <c r="I15" s="27" t="s">
        <v>62</v>
      </c>
      <c r="J15" s="27"/>
      <c r="K15" s="73">
        <v>4</v>
      </c>
      <c r="L15" s="73">
        <v>4</v>
      </c>
      <c r="M15" s="73">
        <v>3</v>
      </c>
      <c r="N15" s="73">
        <v>11</v>
      </c>
      <c r="O15" s="30"/>
      <c r="T15" s="71"/>
    </row>
    <row r="16" spans="2:24">
      <c r="B16" s="103">
        <v>46188</v>
      </c>
      <c r="C16" s="27" t="s">
        <v>60</v>
      </c>
      <c r="D16" s="73"/>
      <c r="E16" s="73"/>
      <c r="F16" s="73">
        <v>1</v>
      </c>
      <c r="G16" s="73">
        <v>1</v>
      </c>
      <c r="H16" s="73"/>
      <c r="I16" s="27"/>
      <c r="J16" s="27"/>
      <c r="K16" s="73"/>
      <c r="L16" s="73"/>
      <c r="M16" s="73"/>
      <c r="N16" s="73"/>
      <c r="O16" s="30"/>
      <c r="T16" s="71"/>
    </row>
    <row r="17" spans="2:15">
      <c r="B17" s="27"/>
      <c r="C17" s="27" t="s">
        <v>61</v>
      </c>
      <c r="D17" s="73">
        <v>1</v>
      </c>
      <c r="E17" s="73"/>
      <c r="F17" s="73"/>
      <c r="G17" s="73">
        <v>1</v>
      </c>
      <c r="H17" s="73"/>
      <c r="I17" s="27" t="s">
        <v>10</v>
      </c>
      <c r="J17" s="27"/>
      <c r="K17" s="73">
        <v>10</v>
      </c>
      <c r="L17" s="73">
        <v>9</v>
      </c>
      <c r="M17" s="73">
        <v>6</v>
      </c>
      <c r="N17" s="73">
        <v>25</v>
      </c>
      <c r="O17" s="30"/>
    </row>
    <row r="18" spans="2:15">
      <c r="B18" s="103" t="s">
        <v>68</v>
      </c>
      <c r="C18" s="27"/>
      <c r="D18" s="73">
        <v>1</v>
      </c>
      <c r="E18" s="73"/>
      <c r="F18" s="73">
        <v>1</v>
      </c>
      <c r="G18" s="73">
        <v>2</v>
      </c>
      <c r="H18" s="73"/>
      <c r="O18" s="30"/>
    </row>
    <row r="19" spans="2:15">
      <c r="B19" s="103"/>
      <c r="C19" s="27"/>
      <c r="D19" s="73"/>
      <c r="E19" s="73"/>
      <c r="F19" s="73"/>
      <c r="G19" s="73"/>
      <c r="H19" s="73"/>
      <c r="O19" s="30"/>
    </row>
    <row r="20" spans="2:15">
      <c r="B20" s="103">
        <v>46189</v>
      </c>
      <c r="C20" s="27" t="s">
        <v>60</v>
      </c>
      <c r="D20" s="73"/>
      <c r="E20" s="73">
        <v>1</v>
      </c>
      <c r="F20" s="73"/>
      <c r="G20" s="73">
        <v>1</v>
      </c>
      <c r="H20" s="73"/>
      <c r="O20" s="30"/>
    </row>
    <row r="21" spans="2:15">
      <c r="B21" s="27"/>
      <c r="C21" s="27" t="s">
        <v>61</v>
      </c>
      <c r="D21" s="73">
        <v>1</v>
      </c>
      <c r="E21" s="73"/>
      <c r="F21" s="73"/>
      <c r="G21" s="73">
        <v>1</v>
      </c>
      <c r="H21" s="73"/>
      <c r="O21" s="30"/>
    </row>
    <row r="22" spans="2:15">
      <c r="B22" s="103" t="s">
        <v>69</v>
      </c>
      <c r="C22" s="27"/>
      <c r="D22" s="73">
        <v>1</v>
      </c>
      <c r="E22" s="73">
        <v>1</v>
      </c>
      <c r="F22" s="73"/>
      <c r="G22" s="73">
        <v>2</v>
      </c>
      <c r="H22" s="73"/>
      <c r="O22" s="30"/>
    </row>
    <row r="23" spans="2:15">
      <c r="B23" s="103"/>
      <c r="C23" s="27"/>
      <c r="D23" s="73"/>
      <c r="E23" s="73"/>
      <c r="F23" s="73"/>
      <c r="G23" s="73"/>
      <c r="H23" s="73"/>
    </row>
    <row r="24" spans="2:15">
      <c r="B24" s="103">
        <v>46190</v>
      </c>
      <c r="C24" s="27" t="s">
        <v>60</v>
      </c>
      <c r="D24" s="73">
        <v>1</v>
      </c>
      <c r="E24" s="73"/>
      <c r="F24" s="73"/>
      <c r="G24" s="73">
        <v>1</v>
      </c>
      <c r="H24" s="73"/>
    </row>
    <row r="25" spans="2:15">
      <c r="B25" s="27"/>
      <c r="C25" s="27" t="s">
        <v>61</v>
      </c>
      <c r="D25" s="73"/>
      <c r="E25" s="73"/>
      <c r="F25" s="73">
        <v>1</v>
      </c>
      <c r="G25" s="73">
        <v>1</v>
      </c>
      <c r="H25" s="73"/>
    </row>
    <row r="26" spans="2:15">
      <c r="B26" s="103" t="s">
        <v>70</v>
      </c>
      <c r="C26" s="27"/>
      <c r="D26" s="73">
        <v>1</v>
      </c>
      <c r="E26" s="73"/>
      <c r="F26" s="73">
        <v>1</v>
      </c>
      <c r="G26" s="73">
        <v>2</v>
      </c>
      <c r="H26" s="73"/>
    </row>
    <row r="27" spans="2:15">
      <c r="B27" s="103"/>
      <c r="C27" s="27"/>
      <c r="D27" s="73"/>
      <c r="E27" s="73"/>
      <c r="F27" s="73"/>
      <c r="G27" s="73"/>
      <c r="H27" s="73"/>
      <c r="I27" s="27"/>
      <c r="J27" s="27"/>
      <c r="K27" s="27"/>
      <c r="L27" s="27"/>
      <c r="M27" s="27"/>
      <c r="N27" s="27"/>
    </row>
    <row r="28" spans="2:15">
      <c r="B28" s="103" t="s">
        <v>42</v>
      </c>
      <c r="C28" s="27"/>
      <c r="D28" s="73">
        <v>5</v>
      </c>
      <c r="E28" s="73">
        <v>2</v>
      </c>
      <c r="F28" s="73">
        <v>3</v>
      </c>
      <c r="G28" s="73">
        <v>10</v>
      </c>
      <c r="H28" s="73"/>
      <c r="I28" s="27"/>
      <c r="J28" s="27"/>
      <c r="K28" s="27"/>
      <c r="L28" s="27"/>
      <c r="M28" s="27"/>
      <c r="N28" s="27"/>
    </row>
    <row r="29" spans="2:15">
      <c r="C29"/>
      <c r="H29" s="73"/>
      <c r="I29" s="27"/>
      <c r="J29" s="27"/>
      <c r="K29" s="27"/>
      <c r="L29" s="27"/>
      <c r="M29" s="27"/>
      <c r="N29" s="27"/>
    </row>
    <row r="30" spans="2:15">
      <c r="C30"/>
      <c r="H30" s="73"/>
    </row>
    <row r="31" spans="2:15">
      <c r="C31"/>
      <c r="H31" s="73"/>
    </row>
    <row r="32" spans="2:15">
      <c r="C32"/>
      <c r="H32" s="73"/>
    </row>
    <row r="33" spans="3:8">
      <c r="C33"/>
      <c r="H33" s="73"/>
    </row>
    <row r="34" spans="3:8">
      <c r="C34"/>
      <c r="H34" s="73"/>
    </row>
    <row r="35" spans="3:8">
      <c r="C35"/>
      <c r="H35" s="73"/>
    </row>
    <row r="36" spans="3:8">
      <c r="C36"/>
      <c r="H36" s="73"/>
    </row>
    <row r="37" spans="3:8">
      <c r="C37"/>
      <c r="H37" s="73"/>
    </row>
    <row r="38" spans="3:8">
      <c r="C38"/>
      <c r="H38" s="73"/>
    </row>
    <row r="39" spans="3:8">
      <c r="C39"/>
      <c r="H39" s="73"/>
    </row>
    <row r="40" spans="3:8">
      <c r="C40"/>
      <c r="H40" s="73"/>
    </row>
    <row r="41" spans="3:8">
      <c r="C41"/>
      <c r="H41" s="73"/>
    </row>
    <row r="42" spans="3:8">
      <c r="C42"/>
      <c r="H42" s="73"/>
    </row>
    <row r="43" spans="3:8">
      <c r="C43"/>
      <c r="H43" s="73"/>
    </row>
    <row r="44" spans="3:8">
      <c r="C44"/>
      <c r="H44" s="73"/>
    </row>
    <row r="45" spans="3:8">
      <c r="C45"/>
      <c r="H45" s="73"/>
    </row>
    <row r="46" spans="3:8">
      <c r="C46"/>
      <c r="H46" s="73"/>
    </row>
    <row r="47" spans="3:8">
      <c r="C47"/>
      <c r="H47" s="73"/>
    </row>
    <row r="48" spans="3:8">
      <c r="C48"/>
      <c r="H48" s="73"/>
    </row>
    <row r="49" spans="3:8">
      <c r="C49"/>
      <c r="H49" s="73"/>
    </row>
    <row r="50" spans="3:8">
      <c r="C50"/>
      <c r="H50" s="73"/>
    </row>
    <row r="51" spans="3:8">
      <c r="C51"/>
      <c r="H51" s="73"/>
    </row>
    <row r="52" spans="3:8">
      <c r="C52"/>
      <c r="H52" s="73"/>
    </row>
    <row r="53" spans="3:8">
      <c r="C53"/>
      <c r="H53" s="73"/>
    </row>
    <row r="54" spans="3:8">
      <c r="C54"/>
      <c r="H54" s="73"/>
    </row>
    <row r="55" spans="3:8">
      <c r="C55"/>
      <c r="H55" s="73"/>
    </row>
    <row r="56" spans="3:8">
      <c r="C56"/>
      <c r="H56" s="73"/>
    </row>
    <row r="57" spans="3:8">
      <c r="C57"/>
      <c r="H57" s="73"/>
    </row>
    <row r="58" spans="3:8">
      <c r="C58"/>
      <c r="H58" s="73"/>
    </row>
  </sheetData>
  <mergeCells count="2">
    <mergeCell ref="B2:N2"/>
    <mergeCell ref="P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F38"/>
  <sheetViews>
    <sheetView topLeftCell="A16" workbookViewId="0">
      <selection activeCell="F5" sqref="F5"/>
    </sheetView>
  </sheetViews>
  <sheetFormatPr defaultRowHeight="15"/>
  <cols>
    <col min="1" max="1" width="18.140625" style="27" customWidth="1"/>
    <col min="2" max="2" width="18.28515625" style="30" customWidth="1"/>
    <col min="3" max="3" width="20.140625" style="40" bestFit="1" customWidth="1"/>
    <col min="4" max="4" width="19.28515625" style="40" customWidth="1"/>
    <col min="5" max="5" width="20" style="30" customWidth="1"/>
    <col min="6" max="6" width="38.140625" style="27" customWidth="1"/>
    <col min="7" max="8" width="9.140625" style="27"/>
    <col min="9" max="9" width="9.140625" style="27" bestFit="1" customWidth="1"/>
    <col min="10" max="16384" width="9.140625" style="27"/>
  </cols>
  <sheetData>
    <row r="1" spans="1:6" ht="25.5" customHeight="1">
      <c r="A1" s="64" t="s">
        <v>71</v>
      </c>
      <c r="B1" s="22"/>
      <c r="C1" s="67"/>
      <c r="D1" s="80"/>
      <c r="E1" s="22"/>
      <c r="F1" s="18"/>
    </row>
    <row r="2" spans="1:6">
      <c r="A2" s="65"/>
      <c r="B2" s="68"/>
      <c r="D2" s="66"/>
      <c r="E2" s="68"/>
      <c r="F2" s="65"/>
    </row>
    <row r="3" spans="1:6" ht="24.75" customHeight="1">
      <c r="A3" s="69" t="s">
        <v>72</v>
      </c>
      <c r="B3" s="69" t="s">
        <v>73</v>
      </c>
      <c r="C3" s="69" t="s">
        <v>74</v>
      </c>
      <c r="D3" s="69" t="s">
        <v>75</v>
      </c>
      <c r="E3" s="69" t="s">
        <v>52</v>
      </c>
      <c r="F3" s="69" t="s">
        <v>76</v>
      </c>
    </row>
    <row r="4" spans="1:6">
      <c r="A4" s="58">
        <v>46254</v>
      </c>
      <c r="B4" s="83" t="s">
        <v>77</v>
      </c>
      <c r="C4" s="60" t="s">
        <v>78</v>
      </c>
      <c r="D4" s="60" t="s">
        <v>79</v>
      </c>
      <c r="E4" s="59" t="s">
        <v>80</v>
      </c>
      <c r="F4" s="60"/>
    </row>
    <row r="5" spans="1:6">
      <c r="A5" s="58">
        <v>46256</v>
      </c>
      <c r="B5" s="83" t="s">
        <v>81</v>
      </c>
      <c r="C5" s="60" t="s">
        <v>82</v>
      </c>
      <c r="D5" s="60" t="s">
        <v>79</v>
      </c>
      <c r="E5" s="59" t="s">
        <v>80</v>
      </c>
      <c r="F5" s="60"/>
    </row>
    <row r="6" spans="1:6">
      <c r="A6" s="58">
        <v>46257</v>
      </c>
      <c r="B6" s="83" t="s">
        <v>83</v>
      </c>
      <c r="C6" s="60" t="s">
        <v>84</v>
      </c>
      <c r="D6" s="60" t="s">
        <v>85</v>
      </c>
      <c r="E6" s="59" t="s">
        <v>80</v>
      </c>
      <c r="F6" s="60"/>
    </row>
    <row r="7" spans="1:6">
      <c r="A7" s="58">
        <v>46259</v>
      </c>
      <c r="B7" s="83" t="s">
        <v>86</v>
      </c>
      <c r="C7" s="60" t="s">
        <v>87</v>
      </c>
      <c r="D7" s="60" t="s">
        <v>79</v>
      </c>
      <c r="E7" s="59" t="s">
        <v>80</v>
      </c>
      <c r="F7" s="60"/>
    </row>
    <row r="8" spans="1:6">
      <c r="A8" s="58">
        <v>46261</v>
      </c>
      <c r="B8" s="83" t="s">
        <v>88</v>
      </c>
      <c r="C8" s="60" t="s">
        <v>89</v>
      </c>
      <c r="D8" s="60" t="s">
        <v>85</v>
      </c>
      <c r="E8" s="59" t="s">
        <v>80</v>
      </c>
      <c r="F8" s="60"/>
    </row>
    <row r="9" spans="1:6">
      <c r="A9" s="58">
        <v>46263</v>
      </c>
      <c r="B9" s="83" t="s">
        <v>90</v>
      </c>
      <c r="C9" s="60" t="s">
        <v>91</v>
      </c>
      <c r="D9" s="60" t="s">
        <v>79</v>
      </c>
      <c r="E9" s="59" t="s">
        <v>80</v>
      </c>
      <c r="F9" s="60"/>
    </row>
    <row r="10" spans="1:6">
      <c r="A10" s="58">
        <v>46265</v>
      </c>
      <c r="B10" s="83" t="s">
        <v>92</v>
      </c>
      <c r="C10" s="60" t="s">
        <v>93</v>
      </c>
      <c r="D10" s="60" t="s">
        <v>94</v>
      </c>
      <c r="E10" s="59" t="s">
        <v>80</v>
      </c>
      <c r="F10" s="60"/>
    </row>
    <row r="11" spans="1:6">
      <c r="A11" s="58">
        <v>46266</v>
      </c>
      <c r="B11" s="83" t="s">
        <v>95</v>
      </c>
      <c r="C11" s="60" t="s">
        <v>78</v>
      </c>
      <c r="D11" s="60" t="s">
        <v>79</v>
      </c>
      <c r="E11" s="59" t="s">
        <v>80</v>
      </c>
      <c r="F11" s="60"/>
    </row>
    <row r="12" spans="1:6">
      <c r="A12" s="58">
        <v>46268</v>
      </c>
      <c r="B12" s="83" t="s">
        <v>96</v>
      </c>
      <c r="C12" s="60" t="s">
        <v>91</v>
      </c>
      <c r="D12" s="60" t="s">
        <v>79</v>
      </c>
      <c r="E12" s="59" t="s">
        <v>80</v>
      </c>
      <c r="F12" s="60"/>
    </row>
    <row r="13" spans="1:6">
      <c r="A13" s="61">
        <v>46269</v>
      </c>
      <c r="B13" s="86" t="s">
        <v>97</v>
      </c>
      <c r="C13" s="63" t="s">
        <v>78</v>
      </c>
      <c r="D13" s="63" t="s">
        <v>79</v>
      </c>
      <c r="E13" s="62" t="s">
        <v>80</v>
      </c>
      <c r="F13" s="63"/>
    </row>
    <row r="14" spans="1:6">
      <c r="A14" s="61">
        <v>46177</v>
      </c>
      <c r="B14" s="83" t="s">
        <v>98</v>
      </c>
      <c r="C14" s="60" t="s">
        <v>82</v>
      </c>
      <c r="D14" s="60" t="s">
        <v>79</v>
      </c>
      <c r="E14" s="59" t="s">
        <v>99</v>
      </c>
      <c r="F14" s="60" t="s">
        <v>100</v>
      </c>
    </row>
    <row r="15" spans="1:6">
      <c r="A15" s="61">
        <v>46205</v>
      </c>
      <c r="B15" s="83" t="s">
        <v>101</v>
      </c>
      <c r="C15" s="60" t="s">
        <v>102</v>
      </c>
      <c r="D15" s="60" t="s">
        <v>94</v>
      </c>
      <c r="E15" s="59" t="s">
        <v>99</v>
      </c>
      <c r="F15" s="60" t="s">
        <v>100</v>
      </c>
    </row>
    <row r="16" spans="1:6">
      <c r="A16" s="61">
        <v>46221</v>
      </c>
      <c r="B16" s="83" t="s">
        <v>103</v>
      </c>
      <c r="C16" s="60" t="s">
        <v>104</v>
      </c>
      <c r="D16" s="60" t="s">
        <v>94</v>
      </c>
      <c r="E16" s="59" t="s">
        <v>99</v>
      </c>
      <c r="F16" s="60" t="s">
        <v>100</v>
      </c>
    </row>
    <row r="17" spans="1:6">
      <c r="A17" s="61">
        <v>46224</v>
      </c>
      <c r="B17" s="83" t="s">
        <v>105</v>
      </c>
      <c r="C17" s="60" t="s">
        <v>106</v>
      </c>
      <c r="D17" s="60" t="s">
        <v>94</v>
      </c>
      <c r="E17" s="59" t="s">
        <v>99</v>
      </c>
      <c r="F17" s="60" t="s">
        <v>100</v>
      </c>
    </row>
    <row r="18" spans="1:6">
      <c r="A18" s="61">
        <v>46264</v>
      </c>
      <c r="B18" s="83" t="s">
        <v>107</v>
      </c>
      <c r="C18" s="60" t="s">
        <v>108</v>
      </c>
      <c r="D18" s="60" t="s">
        <v>94</v>
      </c>
      <c r="E18" s="59" t="s">
        <v>99</v>
      </c>
      <c r="F18" s="60" t="s">
        <v>100</v>
      </c>
    </row>
    <row r="19" spans="1:6">
      <c r="A19" s="61">
        <v>46267</v>
      </c>
      <c r="B19" s="83" t="s">
        <v>109</v>
      </c>
      <c r="C19" s="60" t="s">
        <v>110</v>
      </c>
      <c r="D19" s="60" t="s">
        <v>79</v>
      </c>
      <c r="E19" s="59" t="s">
        <v>99</v>
      </c>
      <c r="F19" s="60"/>
    </row>
    <row r="20" spans="1:6">
      <c r="A20" s="61">
        <v>46269</v>
      </c>
      <c r="B20" s="83" t="s">
        <v>111</v>
      </c>
      <c r="C20" s="60" t="s">
        <v>87</v>
      </c>
      <c r="D20" s="60" t="s">
        <v>79</v>
      </c>
      <c r="E20" s="59" t="s">
        <v>99</v>
      </c>
      <c r="F20" s="60"/>
    </row>
    <row r="21" spans="1:6">
      <c r="A21" s="61">
        <v>46258</v>
      </c>
      <c r="B21" s="86" t="s">
        <v>112</v>
      </c>
      <c r="C21" s="63" t="s">
        <v>104</v>
      </c>
      <c r="D21" s="63" t="s">
        <v>94</v>
      </c>
      <c r="E21" s="62" t="s">
        <v>99</v>
      </c>
      <c r="F21" s="63"/>
    </row>
    <row r="22" spans="1:6">
      <c r="A22" s="61">
        <v>46258</v>
      </c>
      <c r="B22" s="83" t="s">
        <v>113</v>
      </c>
      <c r="C22" s="60" t="s">
        <v>91</v>
      </c>
      <c r="D22" s="60" t="s">
        <v>79</v>
      </c>
      <c r="E22" s="62" t="s">
        <v>99</v>
      </c>
      <c r="F22" s="60"/>
    </row>
    <row r="23" spans="1:6">
      <c r="A23" s="61">
        <v>46259</v>
      </c>
      <c r="B23" s="83" t="s">
        <v>114</v>
      </c>
      <c r="C23" s="60" t="s">
        <v>115</v>
      </c>
      <c r="D23" s="60" t="s">
        <v>85</v>
      </c>
      <c r="E23" s="62" t="s">
        <v>99</v>
      </c>
      <c r="F23" s="60"/>
    </row>
    <row r="24" spans="1:6">
      <c r="A24" s="61">
        <v>46259</v>
      </c>
      <c r="B24" s="83" t="s">
        <v>116</v>
      </c>
      <c r="C24" s="60" t="s">
        <v>93</v>
      </c>
      <c r="D24" s="60" t="s">
        <v>94</v>
      </c>
      <c r="E24" s="62" t="s">
        <v>99</v>
      </c>
      <c r="F24" s="60"/>
    </row>
    <row r="25" spans="1:6">
      <c r="A25" s="61">
        <v>46260</v>
      </c>
      <c r="B25" s="83" t="s">
        <v>117</v>
      </c>
      <c r="C25" s="60" t="s">
        <v>102</v>
      </c>
      <c r="D25" s="60" t="s">
        <v>79</v>
      </c>
      <c r="E25" s="62" t="s">
        <v>99</v>
      </c>
      <c r="F25" s="60"/>
    </row>
    <row r="26" spans="1:6">
      <c r="A26" s="61">
        <v>46160</v>
      </c>
      <c r="B26" s="83" t="s">
        <v>118</v>
      </c>
      <c r="C26" s="60" t="s">
        <v>87</v>
      </c>
      <c r="D26" s="60" t="s">
        <v>79</v>
      </c>
      <c r="E26" s="62" t="s">
        <v>25</v>
      </c>
      <c r="F26" s="60" t="s">
        <v>119</v>
      </c>
    </row>
    <row r="27" spans="1:6">
      <c r="A27" s="61">
        <v>46171</v>
      </c>
      <c r="B27" s="83" t="s">
        <v>120</v>
      </c>
      <c r="C27" s="60" t="s">
        <v>121</v>
      </c>
      <c r="D27" s="60" t="s">
        <v>79</v>
      </c>
      <c r="E27" s="59" t="s">
        <v>25</v>
      </c>
      <c r="F27" s="60" t="s">
        <v>122</v>
      </c>
    </row>
    <row r="28" spans="1:6">
      <c r="A28" s="58">
        <v>46186</v>
      </c>
      <c r="B28" s="83" t="s">
        <v>123</v>
      </c>
      <c r="C28" s="60" t="s">
        <v>124</v>
      </c>
      <c r="D28" s="60" t="s">
        <v>79</v>
      </c>
      <c r="E28" s="59" t="s">
        <v>25</v>
      </c>
      <c r="F28" s="60" t="s">
        <v>125</v>
      </c>
    </row>
    <row r="29" spans="1:6">
      <c r="A29" s="58">
        <v>46193</v>
      </c>
      <c r="B29" s="83" t="s">
        <v>126</v>
      </c>
      <c r="C29" s="60" t="s">
        <v>127</v>
      </c>
      <c r="D29" s="60" t="s">
        <v>79</v>
      </c>
      <c r="E29" s="59" t="s">
        <v>25</v>
      </c>
      <c r="F29" s="60" t="s">
        <v>128</v>
      </c>
    </row>
    <row r="30" spans="1:6">
      <c r="A30" s="58">
        <v>46260</v>
      </c>
      <c r="B30" s="83" t="s">
        <v>129</v>
      </c>
      <c r="C30" s="60" t="s">
        <v>121</v>
      </c>
      <c r="D30" s="60" t="s">
        <v>79</v>
      </c>
      <c r="E30" s="59" t="s">
        <v>26</v>
      </c>
      <c r="F30" s="60"/>
    </row>
    <row r="31" spans="1:6">
      <c r="A31" s="58">
        <v>46261</v>
      </c>
      <c r="B31" s="83" t="s">
        <v>130</v>
      </c>
      <c r="C31" s="60" t="s">
        <v>131</v>
      </c>
      <c r="D31" s="60" t="s">
        <v>79</v>
      </c>
      <c r="E31" s="59" t="s">
        <v>26</v>
      </c>
      <c r="F31" s="60"/>
    </row>
    <row r="32" spans="1:6">
      <c r="A32" s="58">
        <v>46262</v>
      </c>
      <c r="B32" s="83" t="s">
        <v>132</v>
      </c>
      <c r="C32" s="60" t="s">
        <v>110</v>
      </c>
      <c r="D32" s="60" t="s">
        <v>79</v>
      </c>
      <c r="E32" s="59" t="s">
        <v>26</v>
      </c>
      <c r="F32" s="60"/>
    </row>
    <row r="33" spans="1:6">
      <c r="A33" s="58">
        <v>46262</v>
      </c>
      <c r="B33" s="83" t="s">
        <v>133</v>
      </c>
      <c r="C33" s="60" t="s">
        <v>134</v>
      </c>
      <c r="D33" s="60" t="s">
        <v>94</v>
      </c>
      <c r="E33" s="59" t="s">
        <v>26</v>
      </c>
      <c r="F33" s="60"/>
    </row>
    <row r="34" spans="1:6">
      <c r="A34" s="58">
        <v>46263</v>
      </c>
      <c r="B34" s="83" t="s">
        <v>135</v>
      </c>
      <c r="C34" s="60" t="s">
        <v>104</v>
      </c>
      <c r="D34" s="60" t="s">
        <v>94</v>
      </c>
      <c r="E34" s="59" t="s">
        <v>26</v>
      </c>
      <c r="F34" s="60"/>
    </row>
    <row r="35" spans="1:6">
      <c r="A35" s="58">
        <v>46264</v>
      </c>
      <c r="B35" s="83" t="s">
        <v>136</v>
      </c>
      <c r="C35" s="60" t="s">
        <v>84</v>
      </c>
      <c r="D35" s="60" t="s">
        <v>85</v>
      </c>
      <c r="E35" s="59" t="s">
        <v>26</v>
      </c>
      <c r="F35" s="60"/>
    </row>
    <row r="36" spans="1:6">
      <c r="A36" s="58">
        <v>46264</v>
      </c>
      <c r="B36" s="83" t="s">
        <v>137</v>
      </c>
      <c r="C36" s="60" t="s">
        <v>87</v>
      </c>
      <c r="D36" s="60" t="s">
        <v>79</v>
      </c>
      <c r="E36" s="59" t="s">
        <v>26</v>
      </c>
      <c r="F36" s="60"/>
    </row>
    <row r="37" spans="1:6">
      <c r="A37" s="58">
        <v>46265</v>
      </c>
      <c r="B37" s="83" t="s">
        <v>138</v>
      </c>
      <c r="C37" s="60" t="s">
        <v>131</v>
      </c>
      <c r="D37" s="60" t="s">
        <v>79</v>
      </c>
      <c r="E37" s="59" t="s">
        <v>26</v>
      </c>
      <c r="F37" s="60"/>
    </row>
    <row r="38" spans="1:6">
      <c r="A38" s="58">
        <v>46265</v>
      </c>
      <c r="B38" s="83" t="s">
        <v>139</v>
      </c>
      <c r="C38" s="60" t="s">
        <v>115</v>
      </c>
      <c r="D38" s="60" t="s">
        <v>85</v>
      </c>
      <c r="E38" s="59" t="s">
        <v>26</v>
      </c>
      <c r="F38" s="60"/>
    </row>
  </sheetData>
  <conditionalFormatting sqref="A1:A1048576 C4:F38">
    <cfRule type="expression" dxfId="119" priority="78">
      <formula>$F1="Emergency stock"</formula>
    </cfRule>
  </conditionalFormatting>
  <conditionalFormatting sqref="E4:E38">
    <cfRule type="expression" dxfId="118" priority="71">
      <formula>$E4="Damaged"</formula>
    </cfRule>
    <cfRule type="expression" dxfId="117" priority="72">
      <formula>$E4="Reassigned"</formula>
    </cfRule>
    <cfRule type="expression" dxfId="116" priority="73">
      <formula>$E4="Available - Pending"</formula>
    </cfRule>
    <cfRule type="expression" dxfId="115" priority="74">
      <formula>$E4="Available - Ready"</formula>
    </cfRule>
  </conditionalFormatting>
  <dataValidations count="5">
    <dataValidation type="list" operator="greaterThan" allowBlank="1" sqref="F18" xr:uid="{1FFD4C83-CF0F-4794-BF9C-E8E8E6D7A44F}">
      <formula1>"Técnico, Sanitario"</formula1>
    </dataValidation>
    <dataValidation operator="greaterThan" allowBlank="1" sqref="F4:F20" xr:uid="{1DFDABE5-91E0-4151-A59B-FD14375C9A31}"/>
    <dataValidation type="date" operator="greaterThan" allowBlank="1" sqref="A4:C38" xr:uid="{C57A3D8D-0333-4209-98F1-2473A62253EA}">
      <formula1>DATE(2000,1,1)</formula1>
    </dataValidation>
    <dataValidation type="list" operator="greaterThan" allowBlank="1" sqref="D4:D38" xr:uid="{D982A8DE-23C9-463E-B3E6-B42DE49C3A16}">
      <formula1>"Technical, Healthcare, Administrative"</formula1>
    </dataValidation>
    <dataValidation type="list" operator="greaterThan" allowBlank="1" sqref="E4:E38" xr:uid="{17C176DA-E417-4138-9492-1AA86A6CEF6C}">
      <formula1>"Available - Ready, Available - Pending, Reassigned, Damaged"</formula1>
    </dataValidation>
  </dataValidation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70E3-A639-48E6-A06A-994085B3177A}">
  <sheetPr>
    <tabColor theme="2"/>
  </sheetPr>
  <dimension ref="A1:F28"/>
  <sheetViews>
    <sheetView workbookViewId="0">
      <selection activeCell="A10" sqref="A10"/>
    </sheetView>
  </sheetViews>
  <sheetFormatPr defaultRowHeight="15"/>
  <cols>
    <col min="1" max="1" width="17.5703125" customWidth="1"/>
    <col min="2" max="2" width="19.28515625" style="90" customWidth="1"/>
    <col min="3" max="3" width="17.140625" customWidth="1"/>
    <col min="4" max="4" width="25.140625" customWidth="1"/>
    <col min="5" max="5" width="15.85546875" customWidth="1"/>
    <col min="6" max="6" width="38.140625" bestFit="1" customWidth="1"/>
  </cols>
  <sheetData>
    <row r="1" spans="1:6" ht="25.5" customHeight="1">
      <c r="A1" s="17" t="s">
        <v>140</v>
      </c>
      <c r="B1" s="87"/>
      <c r="C1" s="18"/>
      <c r="D1" s="18"/>
      <c r="E1" s="18"/>
      <c r="F1" s="18"/>
    </row>
    <row r="3" spans="1:6" ht="24.75" customHeight="1">
      <c r="A3" s="69" t="s">
        <v>72</v>
      </c>
      <c r="B3" s="69" t="s">
        <v>141</v>
      </c>
      <c r="C3" s="69" t="s">
        <v>73</v>
      </c>
      <c r="D3" s="69" t="s">
        <v>74</v>
      </c>
      <c r="E3" s="69" t="s">
        <v>52</v>
      </c>
      <c r="F3" s="69" t="s">
        <v>76</v>
      </c>
    </row>
    <row r="4" spans="1:6">
      <c r="A4" s="58">
        <v>46185</v>
      </c>
      <c r="B4" s="88" t="s">
        <v>142</v>
      </c>
      <c r="C4" s="59" t="s">
        <v>143</v>
      </c>
      <c r="D4" s="60" t="s">
        <v>144</v>
      </c>
      <c r="E4" s="59" t="s">
        <v>26</v>
      </c>
      <c r="F4" s="60"/>
    </row>
    <row r="5" spans="1:6">
      <c r="A5" s="58">
        <v>46186</v>
      </c>
      <c r="B5" s="88" t="s">
        <v>145</v>
      </c>
      <c r="C5" s="59" t="s">
        <v>146</v>
      </c>
      <c r="D5" s="60" t="s">
        <v>144</v>
      </c>
      <c r="E5" s="59" t="s">
        <v>26</v>
      </c>
      <c r="F5" s="60"/>
    </row>
    <row r="6" spans="1:6">
      <c r="A6" s="58">
        <v>46187</v>
      </c>
      <c r="B6" s="88" t="s">
        <v>147</v>
      </c>
      <c r="C6" s="59" t="s">
        <v>148</v>
      </c>
      <c r="D6" s="60" t="s">
        <v>144</v>
      </c>
      <c r="E6" s="59" t="s">
        <v>26</v>
      </c>
      <c r="F6" s="60"/>
    </row>
    <row r="7" spans="1:6">
      <c r="A7" s="58">
        <v>46188</v>
      </c>
      <c r="B7" s="88" t="s">
        <v>149</v>
      </c>
      <c r="C7" s="59" t="s">
        <v>150</v>
      </c>
      <c r="D7" s="60" t="s">
        <v>144</v>
      </c>
      <c r="E7" s="59" t="s">
        <v>26</v>
      </c>
      <c r="F7" s="60"/>
    </row>
    <row r="8" spans="1:6">
      <c r="A8" s="58">
        <v>46189</v>
      </c>
      <c r="B8" s="83" t="s">
        <v>151</v>
      </c>
      <c r="C8" s="59" t="s">
        <v>152</v>
      </c>
      <c r="D8" s="60" t="s">
        <v>144</v>
      </c>
      <c r="E8" s="59" t="s">
        <v>26</v>
      </c>
      <c r="F8" s="60"/>
    </row>
    <row r="9" spans="1:6">
      <c r="A9" s="58">
        <v>46190</v>
      </c>
      <c r="B9" s="83" t="s">
        <v>153</v>
      </c>
      <c r="C9" s="59" t="s">
        <v>154</v>
      </c>
      <c r="D9" s="60" t="s">
        <v>155</v>
      </c>
      <c r="E9" s="59" t="s">
        <v>26</v>
      </c>
      <c r="F9" s="60"/>
    </row>
    <row r="10" spans="1:6">
      <c r="A10" s="58">
        <v>46191</v>
      </c>
      <c r="B10" s="83" t="s">
        <v>156</v>
      </c>
      <c r="C10" s="59" t="s">
        <v>157</v>
      </c>
      <c r="D10" s="60" t="s">
        <v>155</v>
      </c>
      <c r="E10" s="59" t="s">
        <v>26</v>
      </c>
      <c r="F10" s="60"/>
    </row>
    <row r="11" spans="1:6">
      <c r="A11" s="58">
        <v>46192</v>
      </c>
      <c r="B11" s="83" t="s">
        <v>158</v>
      </c>
      <c r="C11" s="59" t="s">
        <v>159</v>
      </c>
      <c r="D11" s="60" t="s">
        <v>160</v>
      </c>
      <c r="E11" s="59" t="s">
        <v>26</v>
      </c>
      <c r="F11" s="60"/>
    </row>
    <row r="12" spans="1:6">
      <c r="A12" s="58">
        <v>46193</v>
      </c>
      <c r="B12" s="83" t="s">
        <v>161</v>
      </c>
      <c r="C12" s="59" t="s">
        <v>162</v>
      </c>
      <c r="D12" s="60" t="s">
        <v>163</v>
      </c>
      <c r="E12" s="59" t="s">
        <v>26</v>
      </c>
      <c r="F12" s="60"/>
    </row>
    <row r="13" spans="1:6">
      <c r="A13" s="58">
        <v>46194</v>
      </c>
      <c r="B13" s="83" t="s">
        <v>164</v>
      </c>
      <c r="C13" s="59" t="s">
        <v>165</v>
      </c>
      <c r="D13" s="60" t="s">
        <v>144</v>
      </c>
      <c r="E13" s="59" t="s">
        <v>26</v>
      </c>
      <c r="F13" s="60"/>
    </row>
    <row r="14" spans="1:6">
      <c r="A14" s="58">
        <v>46195</v>
      </c>
      <c r="B14" s="83" t="s">
        <v>166</v>
      </c>
      <c r="C14" s="59" t="s">
        <v>167</v>
      </c>
      <c r="D14" s="60" t="s">
        <v>155</v>
      </c>
      <c r="E14" s="59" t="s">
        <v>13</v>
      </c>
      <c r="F14" s="60"/>
    </row>
    <row r="15" spans="1:6">
      <c r="A15" s="58">
        <v>46196</v>
      </c>
      <c r="B15" s="83" t="s">
        <v>168</v>
      </c>
      <c r="C15" s="59" t="s">
        <v>169</v>
      </c>
      <c r="D15" s="60" t="s">
        <v>160</v>
      </c>
      <c r="E15" s="59" t="s">
        <v>13</v>
      </c>
      <c r="F15" s="60"/>
    </row>
    <row r="16" spans="1:6">
      <c r="A16" s="58">
        <v>46197</v>
      </c>
      <c r="B16" s="83" t="s">
        <v>170</v>
      </c>
      <c r="C16" s="59" t="s">
        <v>171</v>
      </c>
      <c r="D16" s="60" t="s">
        <v>144</v>
      </c>
      <c r="E16" s="59" t="s">
        <v>13</v>
      </c>
      <c r="F16" s="60"/>
    </row>
    <row r="17" spans="1:6">
      <c r="A17" s="58">
        <v>46198</v>
      </c>
      <c r="B17" s="83" t="s">
        <v>172</v>
      </c>
      <c r="C17" s="59" t="s">
        <v>173</v>
      </c>
      <c r="D17" s="60" t="s">
        <v>163</v>
      </c>
      <c r="E17" s="59" t="s">
        <v>13</v>
      </c>
      <c r="F17" s="60"/>
    </row>
    <row r="18" spans="1:6">
      <c r="A18" s="58">
        <v>46199</v>
      </c>
      <c r="B18" s="83" t="s">
        <v>174</v>
      </c>
      <c r="C18" s="59" t="s">
        <v>175</v>
      </c>
      <c r="D18" s="60" t="s">
        <v>155</v>
      </c>
      <c r="E18" s="59" t="s">
        <v>13</v>
      </c>
      <c r="F18" s="60"/>
    </row>
    <row r="19" spans="1:6">
      <c r="A19" s="58">
        <v>46200</v>
      </c>
      <c r="B19" s="83" t="s">
        <v>176</v>
      </c>
      <c r="C19" s="59" t="s">
        <v>177</v>
      </c>
      <c r="D19" s="60" t="s">
        <v>144</v>
      </c>
      <c r="E19" s="59" t="s">
        <v>13</v>
      </c>
      <c r="F19" s="60"/>
    </row>
    <row r="20" spans="1:6">
      <c r="A20" s="58">
        <v>46201</v>
      </c>
      <c r="B20" s="83" t="s">
        <v>178</v>
      </c>
      <c r="C20" s="59" t="s">
        <v>179</v>
      </c>
      <c r="D20" s="60" t="s">
        <v>160</v>
      </c>
      <c r="E20" s="59" t="s">
        <v>13</v>
      </c>
      <c r="F20" s="60"/>
    </row>
    <row r="21" spans="1:6">
      <c r="A21" s="58">
        <v>46202</v>
      </c>
      <c r="B21" s="83" t="s">
        <v>180</v>
      </c>
      <c r="C21" s="59" t="s">
        <v>181</v>
      </c>
      <c r="D21" s="60" t="s">
        <v>163</v>
      </c>
      <c r="E21" s="59" t="s">
        <v>13</v>
      </c>
      <c r="F21" s="60"/>
    </row>
    <row r="22" spans="1:6">
      <c r="A22" s="58">
        <v>46203</v>
      </c>
      <c r="B22" s="83" t="s">
        <v>182</v>
      </c>
      <c r="C22" s="59" t="s">
        <v>183</v>
      </c>
      <c r="D22" s="60" t="s">
        <v>144</v>
      </c>
      <c r="E22" s="59" t="s">
        <v>13</v>
      </c>
      <c r="F22" s="60"/>
    </row>
    <row r="23" spans="1:6">
      <c r="A23" s="58">
        <v>46204</v>
      </c>
      <c r="B23" s="83" t="s">
        <v>184</v>
      </c>
      <c r="C23" s="59" t="s">
        <v>185</v>
      </c>
      <c r="D23" s="60" t="s">
        <v>155</v>
      </c>
      <c r="E23" s="59" t="s">
        <v>13</v>
      </c>
      <c r="F23" s="60"/>
    </row>
    <row r="24" spans="1:6">
      <c r="A24" s="58">
        <v>46205</v>
      </c>
      <c r="B24" s="83" t="s">
        <v>186</v>
      </c>
      <c r="C24" s="59" t="s">
        <v>187</v>
      </c>
      <c r="D24" s="60" t="s">
        <v>160</v>
      </c>
      <c r="E24" s="59" t="s">
        <v>13</v>
      </c>
      <c r="F24" s="60"/>
    </row>
    <row r="25" spans="1:6">
      <c r="A25" s="58">
        <v>46206</v>
      </c>
      <c r="B25" s="83" t="s">
        <v>188</v>
      </c>
      <c r="C25" s="59" t="s">
        <v>189</v>
      </c>
      <c r="D25" s="60" t="s">
        <v>144</v>
      </c>
      <c r="E25" s="59" t="s">
        <v>25</v>
      </c>
      <c r="F25" s="60" t="s">
        <v>190</v>
      </c>
    </row>
    <row r="26" spans="1:6">
      <c r="A26" s="58">
        <v>46207</v>
      </c>
      <c r="B26" s="89" t="s">
        <v>191</v>
      </c>
      <c r="C26" s="59" t="s">
        <v>192</v>
      </c>
      <c r="D26" s="60" t="s">
        <v>163</v>
      </c>
      <c r="E26" s="59" t="s">
        <v>25</v>
      </c>
      <c r="F26" s="60" t="s">
        <v>193</v>
      </c>
    </row>
    <row r="27" spans="1:6">
      <c r="A27" s="58">
        <v>46208</v>
      </c>
      <c r="B27" s="89" t="s">
        <v>194</v>
      </c>
      <c r="C27" s="59" t="s">
        <v>195</v>
      </c>
      <c r="D27" s="60" t="s">
        <v>155</v>
      </c>
      <c r="E27" s="59" t="s">
        <v>25</v>
      </c>
      <c r="F27" s="60" t="s">
        <v>196</v>
      </c>
    </row>
    <row r="28" spans="1:6">
      <c r="A28" s="58">
        <v>46209</v>
      </c>
      <c r="B28" s="89" t="s">
        <v>197</v>
      </c>
      <c r="C28" s="59" t="s">
        <v>198</v>
      </c>
      <c r="D28" s="60" t="s">
        <v>144</v>
      </c>
      <c r="E28" s="59" t="s">
        <v>25</v>
      </c>
      <c r="F28" s="60" t="s">
        <v>199</v>
      </c>
    </row>
  </sheetData>
  <conditionalFormatting sqref="E4:E28">
    <cfRule type="expression" dxfId="103" priority="1">
      <formula>$E4="Damaged"</formula>
    </cfRule>
    <cfRule type="expression" dxfId="102" priority="2">
      <formula>$E4="Reassigned"</formula>
    </cfRule>
    <cfRule type="expression" dxfId="101" priority="3">
      <formula>$E4="Available"</formula>
    </cfRule>
  </conditionalFormatting>
  <dataValidations count="4">
    <dataValidation type="list" operator="greaterThan" allowBlank="1" sqref="D12" xr:uid="{40AF2F62-45A9-4D96-9AE2-100EE08FF2B0}">
      <formula1>"Dispoñible, Reasignado, Avariado"</formula1>
    </dataValidation>
    <dataValidation operator="greaterThan" allowBlank="1" sqref="D13:D15 F4:F25 D4:D11" xr:uid="{808CCF49-5790-452A-BF0A-F75877546AD9}"/>
    <dataValidation type="date" operator="greaterThan" allowBlank="1" sqref="A4:C14 D12" xr:uid="{8D3D277D-62E7-474D-BFAF-82D7A476CD39}">
      <formula1>DATE(2000,1,1)</formula1>
    </dataValidation>
    <dataValidation type="list" allowBlank="1" showInputMessage="1" showErrorMessage="1" sqref="E4:E28" xr:uid="{A84D445C-A8B3-49DD-9295-F55D09844AB0}">
      <formula1>"Available, Damaged, Reassigned"</formula1>
    </dataValidation>
  </dataValidation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AF611-8506-464D-AB93-04F9F19C0D18}">
  <sheetPr>
    <tabColor theme="2"/>
  </sheetPr>
  <dimension ref="A1:J27"/>
  <sheetViews>
    <sheetView topLeftCell="A4" workbookViewId="0">
      <selection activeCell="A3" sqref="A3"/>
    </sheetView>
  </sheetViews>
  <sheetFormatPr defaultRowHeight="15"/>
  <cols>
    <col min="1" max="2" width="19.28515625" customWidth="1"/>
    <col min="3" max="3" width="26.7109375" style="11" customWidth="1"/>
    <col min="4" max="4" width="15.85546875" bestFit="1" customWidth="1"/>
    <col min="5" max="5" width="16.42578125" customWidth="1"/>
    <col min="6" max="6" width="37" customWidth="1"/>
    <col min="10" max="10" width="38.28515625" customWidth="1"/>
  </cols>
  <sheetData>
    <row r="1" spans="1:6" ht="25.5" customHeight="1">
      <c r="A1" s="17" t="s">
        <v>200</v>
      </c>
      <c r="B1" s="18"/>
      <c r="C1" s="80"/>
      <c r="D1" s="18"/>
      <c r="E1" s="18"/>
      <c r="F1" s="18"/>
    </row>
    <row r="3" spans="1:6" ht="24.75" customHeight="1">
      <c r="A3" s="69" t="s">
        <v>72</v>
      </c>
      <c r="B3" s="69" t="s">
        <v>141</v>
      </c>
      <c r="C3" s="69" t="s">
        <v>74</v>
      </c>
      <c r="D3" s="69" t="s">
        <v>201</v>
      </c>
      <c r="E3" s="69" t="s">
        <v>52</v>
      </c>
      <c r="F3" s="69" t="s">
        <v>76</v>
      </c>
    </row>
    <row r="4" spans="1:6">
      <c r="A4" s="85">
        <v>46036</v>
      </c>
      <c r="B4" s="84">
        <v>356874102938471</v>
      </c>
      <c r="C4" s="59" t="s">
        <v>202</v>
      </c>
      <c r="D4" s="59" t="s">
        <v>203</v>
      </c>
      <c r="E4" s="59" t="s">
        <v>13</v>
      </c>
      <c r="F4" s="59"/>
    </row>
    <row r="5" spans="1:6">
      <c r="A5" s="85">
        <v>46049</v>
      </c>
      <c r="B5" s="84">
        <v>867530912456783</v>
      </c>
      <c r="C5" s="59" t="s">
        <v>202</v>
      </c>
      <c r="D5" s="59" t="s">
        <v>204</v>
      </c>
      <c r="E5" s="59" t="s">
        <v>13</v>
      </c>
      <c r="F5" s="59"/>
    </row>
    <row r="6" spans="1:6">
      <c r="A6" s="85">
        <v>46064</v>
      </c>
      <c r="B6" s="84">
        <v>490154987321654</v>
      </c>
      <c r="C6" s="59" t="s">
        <v>202</v>
      </c>
      <c r="D6" s="59" t="s">
        <v>205</v>
      </c>
      <c r="E6" s="59" t="s">
        <v>13</v>
      </c>
      <c r="F6" s="59"/>
    </row>
    <row r="7" spans="1:6">
      <c r="A7" s="85">
        <v>46077</v>
      </c>
      <c r="B7" s="84">
        <v>356789045612378</v>
      </c>
      <c r="C7" s="59" t="s">
        <v>202</v>
      </c>
      <c r="D7" s="59" t="s">
        <v>206</v>
      </c>
      <c r="E7" s="59" t="s">
        <v>13</v>
      </c>
      <c r="F7" s="59"/>
    </row>
    <row r="8" spans="1:6">
      <c r="A8" s="85">
        <v>46090</v>
      </c>
      <c r="B8" s="84">
        <v>490154761238945</v>
      </c>
      <c r="C8" s="59" t="s">
        <v>202</v>
      </c>
      <c r="D8" s="59" t="s">
        <v>207</v>
      </c>
      <c r="E8" s="59" t="s">
        <v>13</v>
      </c>
      <c r="F8" s="59"/>
    </row>
    <row r="9" spans="1:6">
      <c r="A9" s="85">
        <v>46106</v>
      </c>
      <c r="B9" s="84">
        <v>356874563210987</v>
      </c>
      <c r="C9" s="59" t="s">
        <v>202</v>
      </c>
      <c r="D9" s="59" t="s">
        <v>208</v>
      </c>
      <c r="E9" s="59" t="s">
        <v>13</v>
      </c>
      <c r="F9" s="59"/>
    </row>
    <row r="10" spans="1:6">
      <c r="A10" s="85">
        <v>46120</v>
      </c>
      <c r="B10" s="84">
        <v>861234098765432</v>
      </c>
      <c r="C10" s="59" t="s">
        <v>202</v>
      </c>
      <c r="D10" s="59" t="s">
        <v>209</v>
      </c>
      <c r="E10" s="59" t="s">
        <v>13</v>
      </c>
      <c r="F10" s="59"/>
    </row>
    <row r="11" spans="1:6">
      <c r="A11" s="85">
        <v>46197</v>
      </c>
      <c r="B11" s="84">
        <v>352099889900112</v>
      </c>
      <c r="C11" s="59" t="s">
        <v>202</v>
      </c>
      <c r="D11" s="59" t="s">
        <v>210</v>
      </c>
      <c r="E11" s="59" t="s">
        <v>13</v>
      </c>
      <c r="F11" s="59"/>
    </row>
    <row r="12" spans="1:6">
      <c r="A12" s="85">
        <v>46215</v>
      </c>
      <c r="B12" s="84" t="s">
        <v>211</v>
      </c>
      <c r="C12" s="59" t="s">
        <v>202</v>
      </c>
      <c r="D12" s="59" t="s">
        <v>212</v>
      </c>
      <c r="E12" s="59" t="s">
        <v>13</v>
      </c>
      <c r="F12" s="59"/>
    </row>
    <row r="13" spans="1:6">
      <c r="A13" s="85">
        <v>46056</v>
      </c>
      <c r="B13" s="84">
        <v>352099118764520</v>
      </c>
      <c r="C13" s="59" t="s">
        <v>202</v>
      </c>
      <c r="D13" s="59" t="s">
        <v>213</v>
      </c>
      <c r="E13" s="59" t="s">
        <v>25</v>
      </c>
      <c r="F13" s="60" t="s">
        <v>214</v>
      </c>
    </row>
    <row r="14" spans="1:6">
      <c r="A14" s="85">
        <v>46128</v>
      </c>
      <c r="B14" s="84">
        <v>352099456781230</v>
      </c>
      <c r="C14" s="59" t="s">
        <v>202</v>
      </c>
      <c r="D14" s="59" t="s">
        <v>215</v>
      </c>
      <c r="E14" s="59" t="s">
        <v>25</v>
      </c>
      <c r="F14" s="60" t="s">
        <v>216</v>
      </c>
    </row>
    <row r="15" spans="1:6">
      <c r="A15" s="85">
        <v>46206</v>
      </c>
      <c r="B15" s="84" t="s">
        <v>217</v>
      </c>
      <c r="C15" s="59" t="s">
        <v>202</v>
      </c>
      <c r="D15" s="59" t="s">
        <v>218</v>
      </c>
      <c r="E15" s="59" t="s">
        <v>25</v>
      </c>
      <c r="F15" s="60" t="s">
        <v>219</v>
      </c>
    </row>
    <row r="16" spans="1:6">
      <c r="A16" s="85">
        <v>46041</v>
      </c>
      <c r="B16" s="84">
        <v>490154203671892</v>
      </c>
      <c r="C16" s="59" t="s">
        <v>202</v>
      </c>
      <c r="D16" s="59" t="s">
        <v>220</v>
      </c>
      <c r="E16" s="59" t="s">
        <v>26</v>
      </c>
      <c r="F16" s="59"/>
    </row>
    <row r="17" spans="1:10">
      <c r="A17" s="85">
        <v>46071</v>
      </c>
      <c r="B17" s="84">
        <v>861234567890125</v>
      </c>
      <c r="C17" s="59" t="s">
        <v>202</v>
      </c>
      <c r="D17" s="59" t="s">
        <v>221</v>
      </c>
      <c r="E17" s="59" t="s">
        <v>26</v>
      </c>
      <c r="F17" s="59"/>
    </row>
    <row r="18" spans="1:10">
      <c r="A18" s="85">
        <v>46083</v>
      </c>
      <c r="B18" s="84">
        <v>352099764531208</v>
      </c>
      <c r="C18" s="59" t="s">
        <v>202</v>
      </c>
      <c r="D18" s="59" t="s">
        <v>222</v>
      </c>
      <c r="E18" s="59" t="s">
        <v>26</v>
      </c>
      <c r="F18" s="59"/>
      <c r="J18" s="21"/>
    </row>
    <row r="19" spans="1:10">
      <c r="A19" s="85">
        <v>46098</v>
      </c>
      <c r="B19" s="84">
        <v>867530945612307</v>
      </c>
      <c r="C19" s="59" t="s">
        <v>202</v>
      </c>
      <c r="D19" s="59" t="s">
        <v>223</v>
      </c>
      <c r="E19" s="59" t="s">
        <v>26</v>
      </c>
      <c r="F19" s="59"/>
    </row>
    <row r="20" spans="1:10">
      <c r="A20" s="85">
        <v>46113</v>
      </c>
      <c r="B20" s="84">
        <v>490154328765901</v>
      </c>
      <c r="C20" s="59" t="s">
        <v>202</v>
      </c>
      <c r="D20" s="59" t="s">
        <v>224</v>
      </c>
      <c r="E20" s="59" t="s">
        <v>26</v>
      </c>
      <c r="F20" s="59"/>
    </row>
    <row r="21" spans="1:10">
      <c r="A21" s="85">
        <v>46135</v>
      </c>
      <c r="B21" s="84">
        <v>356789812345670</v>
      </c>
      <c r="C21" s="59" t="s">
        <v>202</v>
      </c>
      <c r="D21" s="59" t="s">
        <v>225</v>
      </c>
      <c r="E21" s="59" t="s">
        <v>26</v>
      </c>
      <c r="F21" s="59"/>
    </row>
    <row r="22" spans="1:10">
      <c r="A22" s="85">
        <v>46144</v>
      </c>
      <c r="B22" s="84">
        <v>490154112233445</v>
      </c>
      <c r="C22" s="59" t="s">
        <v>202</v>
      </c>
      <c r="D22" s="59" t="s">
        <v>226</v>
      </c>
      <c r="E22" s="59" t="s">
        <v>26</v>
      </c>
      <c r="F22" s="59"/>
    </row>
    <row r="23" spans="1:10">
      <c r="A23" s="85">
        <v>46153</v>
      </c>
      <c r="B23" s="84">
        <v>867530923456781</v>
      </c>
      <c r="C23" s="59" t="s">
        <v>202</v>
      </c>
      <c r="D23" s="59" t="s">
        <v>227</v>
      </c>
      <c r="E23" s="59" t="s">
        <v>26</v>
      </c>
      <c r="F23" s="59"/>
    </row>
    <row r="24" spans="1:10">
      <c r="A24" s="85">
        <v>46161</v>
      </c>
      <c r="B24" s="84">
        <v>352099667788990</v>
      </c>
      <c r="C24" s="59" t="s">
        <v>202</v>
      </c>
      <c r="D24" s="59" t="s">
        <v>228</v>
      </c>
      <c r="E24" s="59" t="s">
        <v>26</v>
      </c>
      <c r="F24" s="59"/>
    </row>
    <row r="25" spans="1:10">
      <c r="A25" s="85">
        <v>46170</v>
      </c>
      <c r="B25" s="84">
        <v>356874334455667</v>
      </c>
      <c r="C25" s="59" t="s">
        <v>229</v>
      </c>
      <c r="D25" s="59" t="s">
        <v>230</v>
      </c>
      <c r="E25" s="59" t="s">
        <v>26</v>
      </c>
      <c r="F25" s="59"/>
    </row>
    <row r="26" spans="1:10">
      <c r="A26" s="85">
        <v>46179</v>
      </c>
      <c r="B26" s="84">
        <v>490154778899001</v>
      </c>
      <c r="C26" s="59" t="s">
        <v>231</v>
      </c>
      <c r="D26" s="59" t="s">
        <v>232</v>
      </c>
      <c r="E26" s="59" t="s">
        <v>26</v>
      </c>
      <c r="F26" s="59"/>
    </row>
    <row r="27" spans="1:10">
      <c r="A27" s="85">
        <v>46188</v>
      </c>
      <c r="B27" s="84">
        <v>861234223344556</v>
      </c>
      <c r="C27" s="59" t="s">
        <v>233</v>
      </c>
      <c r="D27" s="59" t="s">
        <v>234</v>
      </c>
      <c r="E27" s="59" t="s">
        <v>26</v>
      </c>
      <c r="F27" s="59"/>
    </row>
  </sheetData>
  <conditionalFormatting sqref="E4:E27">
    <cfRule type="expression" dxfId="90" priority="5">
      <formula>$E4="Available"</formula>
    </cfRule>
  </conditionalFormatting>
  <conditionalFormatting sqref="A3 F3">
    <cfRule type="expression" dxfId="89" priority="1">
      <formula>$F3="Emergency stock"</formula>
    </cfRule>
  </conditionalFormatting>
  <conditionalFormatting sqref="E4:E27">
    <cfRule type="expression" dxfId="88" priority="2">
      <formula>$E4="Damaged"</formula>
    </cfRule>
  </conditionalFormatting>
  <conditionalFormatting sqref="E4:E27">
    <cfRule type="expression" dxfId="87" priority="3">
      <formula>$E4="Reassigned"</formula>
    </cfRule>
  </conditionalFormatting>
  <dataValidations count="1">
    <dataValidation type="list" allowBlank="1" showInputMessage="1" showErrorMessage="1" sqref="E4:E27" xr:uid="{584480F8-9B02-40D9-B456-FBC14DF3E668}">
      <formula1>"Available, Reassigned, Damaged"</formula1>
    </dataValidation>
  </dataValidation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86EE-A18E-4B94-B4B9-D2304945A2E9}">
  <sheetPr>
    <tabColor theme="2"/>
  </sheetPr>
  <dimension ref="A1:F38"/>
  <sheetViews>
    <sheetView workbookViewId="0">
      <selection activeCell="A3" sqref="A3"/>
    </sheetView>
  </sheetViews>
  <sheetFormatPr defaultRowHeight="15"/>
  <cols>
    <col min="1" max="1" width="20.42578125" customWidth="1"/>
    <col min="2" max="2" width="12.7109375" style="16" customWidth="1"/>
    <col min="3" max="3" width="34.28515625" style="16" customWidth="1"/>
    <col min="4" max="4" width="18.140625" style="16" customWidth="1"/>
    <col min="5" max="5" width="17.28515625" style="16" customWidth="1"/>
    <col min="6" max="6" width="14.5703125" style="37" customWidth="1"/>
  </cols>
  <sheetData>
    <row r="1" spans="1:6" ht="24.75" customHeight="1">
      <c r="A1" s="18" t="s">
        <v>235</v>
      </c>
      <c r="B1" s="19"/>
      <c r="C1" s="19"/>
      <c r="D1" s="82"/>
      <c r="E1" s="19"/>
      <c r="F1" s="102"/>
    </row>
    <row r="2" spans="1:6">
      <c r="B2"/>
      <c r="C2"/>
      <c r="D2"/>
      <c r="E2"/>
    </row>
    <row r="3" spans="1:6" ht="24.75" customHeight="1">
      <c r="A3" s="69" t="s">
        <v>72</v>
      </c>
      <c r="B3" s="1" t="s">
        <v>3</v>
      </c>
      <c r="C3" s="49" t="s">
        <v>4</v>
      </c>
      <c r="D3" s="1" t="s">
        <v>74</v>
      </c>
      <c r="E3" s="1" t="s">
        <v>236</v>
      </c>
      <c r="F3" s="36" t="s">
        <v>237</v>
      </c>
    </row>
    <row r="4" spans="1:6">
      <c r="A4" s="85">
        <v>46185</v>
      </c>
      <c r="B4" s="60" t="s">
        <v>27</v>
      </c>
      <c r="C4" s="60" t="s">
        <v>30</v>
      </c>
      <c r="D4" s="60" t="s">
        <v>238</v>
      </c>
      <c r="E4" s="59" t="s">
        <v>33</v>
      </c>
      <c r="F4" s="59" t="s">
        <v>239</v>
      </c>
    </row>
    <row r="5" spans="1:6">
      <c r="A5" s="85">
        <v>46185</v>
      </c>
      <c r="B5" s="60" t="s">
        <v>11</v>
      </c>
      <c r="C5" s="60" t="s">
        <v>17</v>
      </c>
      <c r="D5" s="60" t="s">
        <v>240</v>
      </c>
      <c r="E5" s="59" t="s">
        <v>33</v>
      </c>
      <c r="F5" s="59" t="s">
        <v>241</v>
      </c>
    </row>
    <row r="6" spans="1:6">
      <c r="A6" s="85">
        <v>46186</v>
      </c>
      <c r="B6" s="60" t="s">
        <v>38</v>
      </c>
      <c r="C6" s="60" t="s">
        <v>39</v>
      </c>
      <c r="D6" s="60" t="s">
        <v>242</v>
      </c>
      <c r="E6" s="59" t="s">
        <v>33</v>
      </c>
      <c r="F6" s="59" t="s">
        <v>243</v>
      </c>
    </row>
    <row r="7" spans="1:6">
      <c r="A7" s="85">
        <v>46186</v>
      </c>
      <c r="B7" s="60" t="s">
        <v>34</v>
      </c>
      <c r="C7" s="60" t="s">
        <v>35</v>
      </c>
      <c r="D7" s="60" t="s">
        <v>244</v>
      </c>
      <c r="E7" s="59" t="s">
        <v>33</v>
      </c>
      <c r="F7" s="59" t="s">
        <v>245</v>
      </c>
    </row>
    <row r="8" spans="1:6">
      <c r="A8" s="85">
        <v>46187</v>
      </c>
      <c r="B8" s="60" t="s">
        <v>11</v>
      </c>
      <c r="C8" s="60" t="s">
        <v>12</v>
      </c>
      <c r="D8" s="60" t="s">
        <v>246</v>
      </c>
      <c r="E8" s="59" t="s">
        <v>33</v>
      </c>
      <c r="F8" s="59" t="s">
        <v>247</v>
      </c>
    </row>
    <row r="9" spans="1:6">
      <c r="A9" s="85">
        <v>46188</v>
      </c>
      <c r="B9" s="60" t="s">
        <v>27</v>
      </c>
      <c r="C9" s="60" t="s">
        <v>28</v>
      </c>
      <c r="D9" s="60" t="s">
        <v>248</v>
      </c>
      <c r="E9" s="59" t="s">
        <v>33</v>
      </c>
      <c r="F9" s="59" t="s">
        <v>249</v>
      </c>
    </row>
    <row r="10" spans="1:6">
      <c r="A10" s="85">
        <v>46188</v>
      </c>
      <c r="B10" s="60" t="s">
        <v>38</v>
      </c>
      <c r="C10" s="60" t="s">
        <v>40</v>
      </c>
      <c r="D10" s="60" t="s">
        <v>250</v>
      </c>
      <c r="E10" s="59" t="s">
        <v>33</v>
      </c>
      <c r="F10" s="59" t="s">
        <v>251</v>
      </c>
    </row>
    <row r="11" spans="1:6">
      <c r="A11" s="85">
        <v>46189</v>
      </c>
      <c r="B11" s="60" t="s">
        <v>11</v>
      </c>
      <c r="C11" s="60" t="s">
        <v>14</v>
      </c>
      <c r="D11" s="60" t="s">
        <v>252</v>
      </c>
      <c r="E11" s="59" t="s">
        <v>33</v>
      </c>
      <c r="F11" s="59" t="s">
        <v>253</v>
      </c>
    </row>
    <row r="12" spans="1:6">
      <c r="A12" s="85">
        <v>46190</v>
      </c>
      <c r="B12" s="60" t="s">
        <v>34</v>
      </c>
      <c r="C12" s="60" t="s">
        <v>36</v>
      </c>
      <c r="D12" s="60" t="s">
        <v>254</v>
      </c>
      <c r="E12" s="59" t="s">
        <v>33</v>
      </c>
      <c r="F12" s="59" t="s">
        <v>255</v>
      </c>
    </row>
    <row r="13" spans="1:6">
      <c r="A13" s="85">
        <v>46191</v>
      </c>
      <c r="B13" s="60" t="s">
        <v>11</v>
      </c>
      <c r="C13" s="60" t="s">
        <v>20</v>
      </c>
      <c r="D13" s="60" t="s">
        <v>256</v>
      </c>
      <c r="E13" s="59" t="s">
        <v>33</v>
      </c>
      <c r="F13" s="59" t="s">
        <v>257</v>
      </c>
    </row>
    <row r="14" spans="1:6">
      <c r="A14" s="85">
        <v>46192</v>
      </c>
      <c r="B14" s="60" t="s">
        <v>34</v>
      </c>
      <c r="C14" s="60" t="s">
        <v>35</v>
      </c>
      <c r="D14" s="60" t="s">
        <v>258</v>
      </c>
      <c r="E14" s="59" t="s">
        <v>33</v>
      </c>
      <c r="F14" s="59" t="s">
        <v>259</v>
      </c>
    </row>
    <row r="15" spans="1:6">
      <c r="A15" s="85">
        <v>46193</v>
      </c>
      <c r="B15" s="60" t="s">
        <v>38</v>
      </c>
      <c r="C15" s="60" t="s">
        <v>39</v>
      </c>
      <c r="D15" s="60" t="s">
        <v>242</v>
      </c>
      <c r="E15" s="59" t="s">
        <v>31</v>
      </c>
      <c r="F15" s="59" t="s">
        <v>260</v>
      </c>
    </row>
    <row r="16" spans="1:6">
      <c r="A16" s="85">
        <v>46194</v>
      </c>
      <c r="B16" s="60" t="s">
        <v>27</v>
      </c>
      <c r="C16" s="60" t="s">
        <v>30</v>
      </c>
      <c r="D16" s="60" t="s">
        <v>238</v>
      </c>
      <c r="E16" s="59" t="s">
        <v>31</v>
      </c>
      <c r="F16" s="59" t="s">
        <v>261</v>
      </c>
    </row>
    <row r="17" spans="1:6">
      <c r="A17" s="85">
        <v>46195</v>
      </c>
      <c r="B17" s="60" t="s">
        <v>11</v>
      </c>
      <c r="C17" s="60" t="s">
        <v>12</v>
      </c>
      <c r="D17" s="60" t="s">
        <v>246</v>
      </c>
      <c r="E17" s="59" t="s">
        <v>31</v>
      </c>
      <c r="F17" s="59" t="s">
        <v>262</v>
      </c>
    </row>
    <row r="18" spans="1:6">
      <c r="A18" s="85">
        <v>46196</v>
      </c>
      <c r="B18" s="60" t="s">
        <v>38</v>
      </c>
      <c r="C18" s="60" t="s">
        <v>40</v>
      </c>
      <c r="D18" s="60" t="s">
        <v>250</v>
      </c>
      <c r="E18" s="59" t="s">
        <v>31</v>
      </c>
      <c r="F18" s="59" t="s">
        <v>263</v>
      </c>
    </row>
    <row r="19" spans="1:6">
      <c r="A19" s="85">
        <v>46197</v>
      </c>
      <c r="B19" s="60" t="s">
        <v>11</v>
      </c>
      <c r="C19" s="60" t="s">
        <v>17</v>
      </c>
      <c r="D19" s="60" t="s">
        <v>240</v>
      </c>
      <c r="E19" s="59" t="s">
        <v>31</v>
      </c>
      <c r="F19" s="59" t="s">
        <v>260</v>
      </c>
    </row>
    <row r="20" spans="1:6">
      <c r="A20" s="85">
        <v>46198</v>
      </c>
      <c r="B20" s="60" t="s">
        <v>34</v>
      </c>
      <c r="C20" s="60" t="s">
        <v>35</v>
      </c>
      <c r="D20" s="60" t="s">
        <v>244</v>
      </c>
      <c r="E20" s="59" t="s">
        <v>31</v>
      </c>
      <c r="F20" s="59" t="s">
        <v>264</v>
      </c>
    </row>
    <row r="21" spans="1:6">
      <c r="A21" s="85">
        <v>46199</v>
      </c>
      <c r="B21" s="60" t="s">
        <v>27</v>
      </c>
      <c r="C21" s="60" t="s">
        <v>28</v>
      </c>
      <c r="D21" s="60" t="s">
        <v>248</v>
      </c>
      <c r="E21" s="59" t="s">
        <v>31</v>
      </c>
      <c r="F21" s="59" t="s">
        <v>262</v>
      </c>
    </row>
    <row r="22" spans="1:6">
      <c r="A22" s="85">
        <v>46200</v>
      </c>
      <c r="B22" s="60" t="s">
        <v>11</v>
      </c>
      <c r="C22" s="60" t="s">
        <v>20</v>
      </c>
      <c r="D22" s="60" t="s">
        <v>256</v>
      </c>
      <c r="E22" s="59" t="s">
        <v>31</v>
      </c>
      <c r="F22" s="59" t="s">
        <v>261</v>
      </c>
    </row>
    <row r="23" spans="1:6">
      <c r="A23" s="85">
        <v>46201</v>
      </c>
      <c r="B23" s="60" t="s">
        <v>34</v>
      </c>
      <c r="C23" s="60" t="s">
        <v>36</v>
      </c>
      <c r="D23" s="60" t="s">
        <v>254</v>
      </c>
      <c r="E23" s="59" t="s">
        <v>31</v>
      </c>
      <c r="F23" s="59" t="s">
        <v>260</v>
      </c>
    </row>
    <row r="24" spans="1:6">
      <c r="A24" s="85">
        <v>46202</v>
      </c>
      <c r="B24" s="60" t="s">
        <v>11</v>
      </c>
      <c r="C24" s="60" t="s">
        <v>14</v>
      </c>
      <c r="D24" s="60" t="s">
        <v>252</v>
      </c>
      <c r="E24" s="59" t="s">
        <v>31</v>
      </c>
      <c r="F24" s="59" t="s">
        <v>262</v>
      </c>
    </row>
    <row r="25" spans="1:6">
      <c r="A25" s="85">
        <v>46203</v>
      </c>
      <c r="B25" s="60" t="s">
        <v>34</v>
      </c>
      <c r="C25" s="60" t="s">
        <v>35</v>
      </c>
      <c r="D25" s="60" t="s">
        <v>258</v>
      </c>
      <c r="E25" s="59" t="s">
        <v>31</v>
      </c>
      <c r="F25" s="59" t="s">
        <v>260</v>
      </c>
    </row>
    <row r="26" spans="1:6">
      <c r="A26" s="85">
        <v>46204</v>
      </c>
      <c r="B26" s="60" t="s">
        <v>38</v>
      </c>
      <c r="C26" s="60" t="s">
        <v>40</v>
      </c>
      <c r="D26" s="60" t="s">
        <v>250</v>
      </c>
      <c r="E26" s="59" t="s">
        <v>33</v>
      </c>
      <c r="F26" s="59" t="s">
        <v>265</v>
      </c>
    </row>
    <row r="27" spans="1:6">
      <c r="A27" s="85">
        <v>46205</v>
      </c>
      <c r="B27" s="60" t="s">
        <v>27</v>
      </c>
      <c r="C27" s="60" t="s">
        <v>30</v>
      </c>
      <c r="D27" s="60" t="s">
        <v>238</v>
      </c>
      <c r="E27" s="59" t="s">
        <v>33</v>
      </c>
      <c r="F27" s="59" t="s">
        <v>266</v>
      </c>
    </row>
    <row r="28" spans="1:6">
      <c r="A28" s="85">
        <v>46206</v>
      </c>
      <c r="B28" s="60" t="s">
        <v>11</v>
      </c>
      <c r="C28" s="60" t="s">
        <v>12</v>
      </c>
      <c r="D28" s="60" t="s">
        <v>246</v>
      </c>
      <c r="E28" s="59" t="s">
        <v>31</v>
      </c>
      <c r="F28" s="59" t="s">
        <v>260</v>
      </c>
    </row>
    <row r="29" spans="1:6">
      <c r="B29" s="81"/>
      <c r="C29" s="81"/>
      <c r="D29" s="81"/>
      <c r="E29" s="81"/>
    </row>
    <row r="30" spans="1:6">
      <c r="B30" s="81"/>
      <c r="C30" s="81"/>
      <c r="D30" s="81"/>
      <c r="E30" s="81"/>
    </row>
    <row r="31" spans="1:6">
      <c r="B31" s="81"/>
      <c r="C31" s="81"/>
      <c r="D31" s="81"/>
      <c r="E31" s="81"/>
    </row>
    <row r="32" spans="1:6">
      <c r="B32" s="81"/>
      <c r="C32" s="81"/>
      <c r="D32" s="81"/>
      <c r="E32" s="81"/>
    </row>
    <row r="33" spans="2:5">
      <c r="B33" s="81"/>
      <c r="C33" s="81"/>
      <c r="D33" s="81"/>
      <c r="E33" s="81"/>
    </row>
    <row r="34" spans="2:5">
      <c r="B34" s="81"/>
      <c r="C34" s="81"/>
      <c r="D34" s="81"/>
      <c r="E34" s="81"/>
    </row>
    <row r="35" spans="2:5">
      <c r="B35" s="81"/>
      <c r="C35" s="81"/>
      <c r="D35" s="81"/>
      <c r="E35" s="81"/>
    </row>
    <row r="36" spans="2:5">
      <c r="B36" s="81"/>
      <c r="C36" s="81"/>
      <c r="D36" s="81"/>
      <c r="E36" s="81"/>
    </row>
    <row r="37" spans="2:5">
      <c r="B37" s="81"/>
      <c r="C37" s="81"/>
      <c r="D37" s="81"/>
      <c r="E37" s="81"/>
    </row>
    <row r="38" spans="2:5">
      <c r="B38" s="81"/>
      <c r="C38" s="81"/>
      <c r="D38" s="81"/>
      <c r="E38" s="81"/>
    </row>
  </sheetData>
  <conditionalFormatting sqref="E4:E28">
    <cfRule type="expression" dxfId="75" priority="1">
      <formula>$E4="Out"</formula>
    </cfRule>
    <cfRule type="expression" dxfId="74" priority="2">
      <formula>$E4="In"</formula>
    </cfRule>
  </conditionalFormatting>
  <dataValidations count="3">
    <dataValidation type="list" allowBlank="1" showInputMessage="1" showErrorMessage="1" sqref="E4:E28" xr:uid="{C077A796-B756-4754-BD44-B88E26A9CDE5}">
      <formula1>"In, Out"</formula1>
    </dataValidation>
    <dataValidation type="date" operator="greaterThan" allowBlank="1" sqref="A4:A28" xr:uid="{F7012170-E9B4-40B6-B312-12D606C2FFD5}">
      <formula1>DATE(2000,1,1)</formula1>
    </dataValidation>
    <dataValidation type="list" allowBlank="1" showInputMessage="1" showErrorMessage="1" sqref="B4:B28" xr:uid="{1DCCEB65-C8F0-4899-9C67-0F81B1F2EC3F}">
      <formula1>"Adaptador, Cable, HUB, Periférico"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1642-A5A7-48C7-9A02-54C11088AF0F}">
  <sheetPr>
    <tabColor theme="2"/>
  </sheetPr>
  <dimension ref="A1:H28"/>
  <sheetViews>
    <sheetView tabSelected="1" workbookViewId="0">
      <selection activeCell="A2" sqref="A2"/>
    </sheetView>
  </sheetViews>
  <sheetFormatPr defaultRowHeight="15"/>
  <cols>
    <col min="1" max="1" width="19.140625" customWidth="1"/>
    <col min="2" max="2" width="26.42578125" style="81" customWidth="1"/>
    <col min="3" max="4" width="12.7109375" style="16" customWidth="1"/>
    <col min="5" max="5" width="8.42578125" style="16" customWidth="1"/>
    <col min="6" max="6" width="11.7109375" style="37" customWidth="1"/>
    <col min="7" max="7" width="17.28515625" style="16" customWidth="1"/>
    <col min="8" max="8" width="34.140625" style="37" customWidth="1"/>
  </cols>
  <sheetData>
    <row r="1" spans="1:8" ht="24.75" customHeight="1">
      <c r="A1" s="19" t="s">
        <v>267</v>
      </c>
      <c r="B1" s="106"/>
      <c r="C1" s="19"/>
      <c r="D1" s="19"/>
      <c r="E1" s="82"/>
      <c r="F1" s="35"/>
      <c r="G1" s="19"/>
      <c r="H1" s="35"/>
    </row>
    <row r="2" spans="1:8">
      <c r="C2"/>
      <c r="D2"/>
      <c r="E2"/>
      <c r="F2" s="21"/>
      <c r="G2"/>
      <c r="H2" s="21"/>
    </row>
    <row r="3" spans="1:8" ht="24.75" customHeight="1">
      <c r="A3" s="69" t="s">
        <v>72</v>
      </c>
      <c r="B3" s="69" t="s">
        <v>24</v>
      </c>
      <c r="C3" s="69" t="s">
        <v>3</v>
      </c>
      <c r="D3" s="69" t="s">
        <v>268</v>
      </c>
      <c r="E3" s="69" t="s">
        <v>269</v>
      </c>
      <c r="F3" s="69" t="s">
        <v>270</v>
      </c>
      <c r="G3" s="69" t="s">
        <v>271</v>
      </c>
      <c r="H3" s="69" t="s">
        <v>76</v>
      </c>
    </row>
    <row r="4" spans="1:8">
      <c r="A4" s="59" t="s">
        <v>272</v>
      </c>
      <c r="B4" s="83" t="s">
        <v>273</v>
      </c>
      <c r="C4" s="60" t="s">
        <v>274</v>
      </c>
      <c r="D4" s="60" t="s">
        <v>275</v>
      </c>
      <c r="E4" s="59" t="s">
        <v>276</v>
      </c>
      <c r="F4" s="101">
        <v>38192746</v>
      </c>
      <c r="G4" s="58" t="s">
        <v>13</v>
      </c>
      <c r="H4" s="58"/>
    </row>
    <row r="5" spans="1:8">
      <c r="A5" s="59" t="s">
        <v>277</v>
      </c>
      <c r="B5" s="83" t="s">
        <v>278</v>
      </c>
      <c r="C5" s="60" t="s">
        <v>274</v>
      </c>
      <c r="D5" s="60" t="s">
        <v>279</v>
      </c>
      <c r="E5" s="59" t="s">
        <v>280</v>
      </c>
      <c r="F5" s="101">
        <v>92641583</v>
      </c>
      <c r="G5" s="58" t="s">
        <v>13</v>
      </c>
      <c r="H5" s="58"/>
    </row>
    <row r="6" spans="1:8">
      <c r="A6" s="59" t="s">
        <v>281</v>
      </c>
      <c r="B6" s="83" t="s">
        <v>282</v>
      </c>
      <c r="C6" s="60" t="s">
        <v>274</v>
      </c>
      <c r="D6" s="60" t="s">
        <v>283</v>
      </c>
      <c r="E6" s="59" t="s">
        <v>284</v>
      </c>
      <c r="F6" s="101">
        <v>86325174</v>
      </c>
      <c r="G6" s="58" t="s">
        <v>13</v>
      </c>
      <c r="H6" s="58"/>
    </row>
    <row r="7" spans="1:8">
      <c r="A7" s="59" t="s">
        <v>285</v>
      </c>
      <c r="B7" s="83" t="s">
        <v>286</v>
      </c>
      <c r="C7" s="60" t="s">
        <v>274</v>
      </c>
      <c r="D7" s="60" t="s">
        <v>287</v>
      </c>
      <c r="E7" s="59" t="s">
        <v>288</v>
      </c>
      <c r="F7" s="101">
        <v>75162934</v>
      </c>
      <c r="G7" s="58" t="s">
        <v>13</v>
      </c>
      <c r="H7" s="58"/>
    </row>
    <row r="8" spans="1:8">
      <c r="A8" s="59" t="s">
        <v>289</v>
      </c>
      <c r="B8" s="83" t="s">
        <v>290</v>
      </c>
      <c r="C8" s="60" t="s">
        <v>274</v>
      </c>
      <c r="D8" s="60" t="s">
        <v>291</v>
      </c>
      <c r="E8" s="59" t="s">
        <v>292</v>
      </c>
      <c r="F8" s="101">
        <v>93652741</v>
      </c>
      <c r="G8" s="58" t="s">
        <v>13</v>
      </c>
      <c r="H8" s="58"/>
    </row>
    <row r="9" spans="1:8">
      <c r="A9" s="59" t="s">
        <v>293</v>
      </c>
      <c r="B9" s="83" t="s">
        <v>294</v>
      </c>
      <c r="C9" s="60" t="s">
        <v>274</v>
      </c>
      <c r="D9" s="60" t="s">
        <v>295</v>
      </c>
      <c r="E9" s="59" t="s">
        <v>296</v>
      </c>
      <c r="F9" s="101">
        <v>61583927</v>
      </c>
      <c r="G9" s="58" t="s">
        <v>13</v>
      </c>
      <c r="H9" s="58"/>
    </row>
    <row r="10" spans="1:8">
      <c r="A10" s="59" t="s">
        <v>297</v>
      </c>
      <c r="B10" s="83" t="s">
        <v>298</v>
      </c>
      <c r="C10" s="60" t="s">
        <v>274</v>
      </c>
      <c r="D10" s="60" t="s">
        <v>299</v>
      </c>
      <c r="E10" s="59" t="s">
        <v>300</v>
      </c>
      <c r="F10" s="101">
        <v>35972816</v>
      </c>
      <c r="G10" s="58" t="s">
        <v>13</v>
      </c>
      <c r="H10" s="58"/>
    </row>
    <row r="11" spans="1:8">
      <c r="A11" s="59" t="s">
        <v>301</v>
      </c>
      <c r="B11" s="83" t="s">
        <v>302</v>
      </c>
      <c r="C11" s="60" t="s">
        <v>274</v>
      </c>
      <c r="D11" s="60" t="s">
        <v>303</v>
      </c>
      <c r="E11" s="59" t="s">
        <v>304</v>
      </c>
      <c r="F11" s="101">
        <v>72619384</v>
      </c>
      <c r="G11" s="58" t="s">
        <v>13</v>
      </c>
      <c r="H11" s="58"/>
    </row>
    <row r="12" spans="1:8">
      <c r="A12" s="59" t="s">
        <v>305</v>
      </c>
      <c r="B12" s="83" t="s">
        <v>306</v>
      </c>
      <c r="C12" s="60" t="s">
        <v>274</v>
      </c>
      <c r="D12" s="60" t="s">
        <v>307</v>
      </c>
      <c r="E12" s="59" t="s">
        <v>308</v>
      </c>
      <c r="F12" s="101">
        <v>81726439</v>
      </c>
      <c r="G12" s="58" t="s">
        <v>13</v>
      </c>
      <c r="H12" s="58"/>
    </row>
    <row r="13" spans="1:8">
      <c r="A13" s="59" t="s">
        <v>309</v>
      </c>
      <c r="B13" s="83" t="s">
        <v>310</v>
      </c>
      <c r="C13" s="60" t="s">
        <v>274</v>
      </c>
      <c r="D13" s="60" t="s">
        <v>311</v>
      </c>
      <c r="E13" s="59" t="s">
        <v>312</v>
      </c>
      <c r="F13" s="101">
        <v>53481726</v>
      </c>
      <c r="G13" s="58" t="s">
        <v>13</v>
      </c>
      <c r="H13" s="58"/>
    </row>
    <row r="14" spans="1:8">
      <c r="A14" s="59" t="s">
        <v>313</v>
      </c>
      <c r="B14" s="83" t="s">
        <v>314</v>
      </c>
      <c r="C14" s="60" t="s">
        <v>315</v>
      </c>
      <c r="D14" s="60" t="s">
        <v>316</v>
      </c>
      <c r="E14" s="59" t="s">
        <v>317</v>
      </c>
      <c r="F14" s="101">
        <v>37582461</v>
      </c>
      <c r="G14" s="58" t="s">
        <v>13</v>
      </c>
      <c r="H14" s="58"/>
    </row>
    <row r="15" spans="1:8">
      <c r="A15" s="59" t="s">
        <v>318</v>
      </c>
      <c r="B15" s="83" t="s">
        <v>319</v>
      </c>
      <c r="C15" s="60" t="s">
        <v>315</v>
      </c>
      <c r="D15" s="60" t="s">
        <v>320</v>
      </c>
      <c r="E15" s="59" t="s">
        <v>321</v>
      </c>
      <c r="F15" s="101">
        <v>85371426</v>
      </c>
      <c r="G15" s="58" t="s">
        <v>13</v>
      </c>
      <c r="H15" s="58"/>
    </row>
    <row r="16" spans="1:8">
      <c r="A16" s="85">
        <v>46259</v>
      </c>
      <c r="B16" s="89" t="s">
        <v>322</v>
      </c>
      <c r="C16" s="60" t="s">
        <v>315</v>
      </c>
      <c r="D16" s="60">
        <v>67839215</v>
      </c>
      <c r="E16" s="59">
        <v>6384</v>
      </c>
      <c r="F16" s="101">
        <v>29746185</v>
      </c>
      <c r="G16" s="58" t="s">
        <v>13</v>
      </c>
      <c r="H16" s="58"/>
    </row>
    <row r="17" spans="1:8">
      <c r="A17" s="85">
        <v>46265</v>
      </c>
      <c r="B17" s="89" t="s">
        <v>322</v>
      </c>
      <c r="C17" s="60" t="s">
        <v>315</v>
      </c>
      <c r="D17" s="60">
        <v>68926147</v>
      </c>
      <c r="E17" s="59">
        <v>7136</v>
      </c>
      <c r="F17" s="101">
        <v>52648391</v>
      </c>
      <c r="G17" s="58" t="s">
        <v>13</v>
      </c>
      <c r="H17" s="58"/>
    </row>
    <row r="18" spans="1:8">
      <c r="A18" s="59" t="s">
        <v>323</v>
      </c>
      <c r="B18" s="83" t="s">
        <v>324</v>
      </c>
      <c r="C18" s="60" t="s">
        <v>315</v>
      </c>
      <c r="D18" s="60" t="s">
        <v>325</v>
      </c>
      <c r="E18" s="59" t="s">
        <v>326</v>
      </c>
      <c r="F18" s="101">
        <v>29471863</v>
      </c>
      <c r="G18" s="58" t="s">
        <v>25</v>
      </c>
      <c r="H18" s="100" t="s">
        <v>327</v>
      </c>
    </row>
    <row r="19" spans="1:8">
      <c r="A19" s="59" t="s">
        <v>328</v>
      </c>
      <c r="B19" s="83" t="s">
        <v>329</v>
      </c>
      <c r="C19" s="60" t="s">
        <v>315</v>
      </c>
      <c r="D19" s="60" t="s">
        <v>330</v>
      </c>
      <c r="E19" s="59" t="s">
        <v>331</v>
      </c>
      <c r="F19" s="101">
        <v>84153627</v>
      </c>
      <c r="G19" s="58" t="s">
        <v>25</v>
      </c>
      <c r="H19" s="100" t="s">
        <v>332</v>
      </c>
    </row>
    <row r="20" spans="1:8">
      <c r="A20" s="59" t="s">
        <v>333</v>
      </c>
      <c r="B20" s="83" t="s">
        <v>334</v>
      </c>
      <c r="C20" s="60" t="s">
        <v>315</v>
      </c>
      <c r="D20" s="60" t="s">
        <v>335</v>
      </c>
      <c r="E20" s="59" t="s">
        <v>336</v>
      </c>
      <c r="F20" s="101">
        <v>62845193</v>
      </c>
      <c r="G20" s="58" t="s">
        <v>25</v>
      </c>
      <c r="H20" s="100" t="s">
        <v>337</v>
      </c>
    </row>
    <row r="21" spans="1:8">
      <c r="A21" s="59" t="s">
        <v>338</v>
      </c>
      <c r="B21" s="83" t="s">
        <v>339</v>
      </c>
      <c r="C21" s="60" t="s">
        <v>315</v>
      </c>
      <c r="D21" s="60" t="s">
        <v>340</v>
      </c>
      <c r="E21" s="59" t="s">
        <v>341</v>
      </c>
      <c r="F21" s="101">
        <v>74281635</v>
      </c>
      <c r="G21" s="58" t="s">
        <v>26</v>
      </c>
      <c r="H21" s="58"/>
    </row>
    <row r="22" spans="1:8">
      <c r="A22" s="59" t="s">
        <v>342</v>
      </c>
      <c r="B22" s="83" t="s">
        <v>343</v>
      </c>
      <c r="C22" s="60" t="s">
        <v>274</v>
      </c>
      <c r="D22" s="60" t="s">
        <v>344</v>
      </c>
      <c r="E22" s="59" t="s">
        <v>345</v>
      </c>
      <c r="F22" s="101">
        <v>51738429</v>
      </c>
      <c r="G22" s="58" t="s">
        <v>26</v>
      </c>
      <c r="H22" s="58"/>
    </row>
    <row r="23" spans="1:8">
      <c r="A23" s="59" t="s">
        <v>346</v>
      </c>
      <c r="B23" s="83" t="s">
        <v>347</v>
      </c>
      <c r="C23" s="60" t="s">
        <v>274</v>
      </c>
      <c r="D23" s="60" t="s">
        <v>348</v>
      </c>
      <c r="E23" s="59" t="s">
        <v>349</v>
      </c>
      <c r="F23" s="101">
        <v>42816395</v>
      </c>
      <c r="G23" s="58" t="s">
        <v>26</v>
      </c>
      <c r="H23" s="58"/>
    </row>
    <row r="24" spans="1:8">
      <c r="A24" s="59" t="s">
        <v>350</v>
      </c>
      <c r="B24" s="83" t="s">
        <v>351</v>
      </c>
      <c r="C24" s="60" t="s">
        <v>274</v>
      </c>
      <c r="D24" s="60" t="s">
        <v>352</v>
      </c>
      <c r="E24" s="59" t="s">
        <v>353</v>
      </c>
      <c r="F24" s="101">
        <v>78241653</v>
      </c>
      <c r="G24" s="58" t="s">
        <v>26</v>
      </c>
      <c r="H24" s="58"/>
    </row>
    <row r="25" spans="1:8">
      <c r="A25" s="59" t="s">
        <v>354</v>
      </c>
      <c r="B25" s="83" t="s">
        <v>355</v>
      </c>
      <c r="C25" s="60" t="s">
        <v>315</v>
      </c>
      <c r="D25" s="60" t="s">
        <v>356</v>
      </c>
      <c r="E25" s="59" t="s">
        <v>357</v>
      </c>
      <c r="F25" s="101">
        <v>48372615</v>
      </c>
      <c r="G25" s="58" t="s">
        <v>26</v>
      </c>
      <c r="H25" s="58"/>
    </row>
    <row r="26" spans="1:8">
      <c r="A26" s="59" t="s">
        <v>358</v>
      </c>
      <c r="B26" s="83" t="s">
        <v>359</v>
      </c>
      <c r="C26" s="60" t="s">
        <v>274</v>
      </c>
      <c r="D26" s="60" t="s">
        <v>360</v>
      </c>
      <c r="E26" s="59" t="s">
        <v>361</v>
      </c>
      <c r="F26" s="101">
        <v>96142857</v>
      </c>
      <c r="G26" s="58" t="s">
        <v>26</v>
      </c>
      <c r="H26" s="58"/>
    </row>
    <row r="27" spans="1:8">
      <c r="A27" s="59" t="s">
        <v>362</v>
      </c>
      <c r="B27" s="83" t="s">
        <v>363</v>
      </c>
      <c r="C27" s="60" t="s">
        <v>315</v>
      </c>
      <c r="D27" s="60" t="s">
        <v>364</v>
      </c>
      <c r="E27" s="59" t="s">
        <v>365</v>
      </c>
      <c r="F27" s="101">
        <v>41593628</v>
      </c>
      <c r="G27" s="58" t="s">
        <v>26</v>
      </c>
      <c r="H27" s="58"/>
    </row>
    <row r="28" spans="1:8">
      <c r="C28" s="81"/>
      <c r="D28" s="81"/>
      <c r="E28" s="81"/>
      <c r="G28" s="81"/>
    </row>
  </sheetData>
  <conditionalFormatting sqref="G4:G27">
    <cfRule type="expression" dxfId="63" priority="10">
      <formula>$G4="Available"</formula>
    </cfRule>
  </conditionalFormatting>
  <conditionalFormatting sqref="G4:G27">
    <cfRule type="expression" dxfId="62" priority="7">
      <formula>$G4="Damaged"</formula>
    </cfRule>
  </conditionalFormatting>
  <conditionalFormatting sqref="G4:G27">
    <cfRule type="expression" dxfId="61" priority="8">
      <formula>$G4="Reassigned"</formula>
    </cfRule>
  </conditionalFormatting>
  <dataValidations count="4">
    <dataValidation type="list" allowBlank="1" showInputMessage="1" showErrorMessage="1" sqref="C4:C27" xr:uid="{CB0D3DEF-BDCB-4D0E-A71E-7FA0EF8F0AC9}">
      <formula1>"Voice+Data, Data"</formula1>
    </dataValidation>
    <dataValidation type="date" operator="greaterThan" allowBlank="1" sqref="A4:B27" xr:uid="{FE625CB3-EB23-46A7-A696-279EBAA9291E}">
      <formula1>DATE(2000,1,1)</formula1>
    </dataValidation>
    <dataValidation type="list" allowBlank="1" showInputMessage="1" showErrorMessage="1" sqref="G4:G27" xr:uid="{E619179B-F049-4AAF-BD84-29FCEE8E0591}">
      <formula1>"Dispoñible, Reasignado, Outro"</formula1>
    </dataValidation>
    <dataValidation allowBlank="1" showInputMessage="1" showErrorMessage="1" sqref="D4:D27" xr:uid="{8B020804-49BB-4F7A-A52B-6EAC3945B917}"/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CC92-503A-4A17-9E60-2AD0094B4FD0}">
  <sheetPr>
    <tabColor rgb="FFC66A6A"/>
  </sheetPr>
  <dimension ref="A1:P280"/>
  <sheetViews>
    <sheetView workbookViewId="0">
      <selection activeCell="D5" sqref="D5"/>
    </sheetView>
  </sheetViews>
  <sheetFormatPr defaultRowHeight="15"/>
  <cols>
    <col min="1" max="1" width="8.5703125" bestFit="1" customWidth="1"/>
    <col min="2" max="2" width="20.5703125" bestFit="1" customWidth="1"/>
    <col min="3" max="3" width="4.42578125" bestFit="1" customWidth="1"/>
    <col min="4" max="4" width="13" customWidth="1"/>
    <col min="5" max="5" width="20.42578125" customWidth="1"/>
    <col min="6" max="6" width="26.140625" customWidth="1"/>
    <col min="7" max="7" width="25.140625" customWidth="1"/>
    <col min="8" max="8" width="28.85546875" customWidth="1"/>
    <col min="9" max="9" width="23.5703125" customWidth="1"/>
    <col min="10" max="10" width="12.28515625" style="16" bestFit="1" customWidth="1"/>
    <col min="11" max="11" width="23.140625" style="16" bestFit="1" customWidth="1"/>
    <col min="12" max="12" width="6.5703125" style="16" bestFit="1" customWidth="1"/>
    <col min="13" max="13" width="12" style="16" customWidth="1"/>
    <col min="14" max="14" width="17" customWidth="1"/>
    <col min="15" max="15" width="17" style="23" customWidth="1"/>
    <col min="16" max="16" width="31.7109375" customWidth="1"/>
  </cols>
  <sheetData>
    <row r="1" spans="1:16" ht="35.25" customHeight="1">
      <c r="A1" s="97" t="s">
        <v>366</v>
      </c>
      <c r="B1" s="98"/>
      <c r="C1" s="18"/>
      <c r="D1" s="18"/>
      <c r="E1" s="18"/>
      <c r="F1" s="18"/>
      <c r="G1" s="18"/>
      <c r="H1" s="18"/>
      <c r="I1" s="18"/>
      <c r="J1" s="20"/>
      <c r="K1" s="20"/>
      <c r="L1" s="20"/>
      <c r="M1" s="20"/>
      <c r="N1" s="18"/>
      <c r="O1" s="22"/>
      <c r="P1" s="18"/>
    </row>
    <row r="2" spans="1:16"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</row>
    <row r="3" spans="1:16" ht="25.5" customHeight="1">
      <c r="A3" s="26" t="s">
        <v>51</v>
      </c>
      <c r="B3" s="2" t="s">
        <v>53</v>
      </c>
      <c r="C3" s="2" t="s">
        <v>367</v>
      </c>
      <c r="D3" s="2" t="s">
        <v>368</v>
      </c>
      <c r="E3" s="1" t="s">
        <v>49</v>
      </c>
      <c r="F3" s="1" t="s">
        <v>369</v>
      </c>
      <c r="G3" s="1" t="s">
        <v>370</v>
      </c>
      <c r="H3" s="1" t="s">
        <v>371</v>
      </c>
      <c r="I3" s="1" t="s">
        <v>372</v>
      </c>
      <c r="J3" s="12" t="s">
        <v>268</v>
      </c>
      <c r="K3" s="12" t="s">
        <v>24</v>
      </c>
      <c r="L3" s="12" t="s">
        <v>269</v>
      </c>
      <c r="M3" s="12" t="s">
        <v>270</v>
      </c>
      <c r="N3" s="1" t="s">
        <v>373</v>
      </c>
      <c r="O3" s="1" t="s">
        <v>374</v>
      </c>
      <c r="P3" s="1" t="s">
        <v>76</v>
      </c>
    </row>
    <row r="4" spans="1:16">
      <c r="A4" s="107">
        <v>23</v>
      </c>
      <c r="B4" s="85">
        <v>46175</v>
      </c>
      <c r="C4" s="15" t="s">
        <v>60</v>
      </c>
      <c r="D4" s="107">
        <v>112164</v>
      </c>
      <c r="E4" s="107" t="s">
        <v>55</v>
      </c>
      <c r="F4" s="107" t="s">
        <v>375</v>
      </c>
      <c r="G4" s="108" t="s">
        <v>376</v>
      </c>
      <c r="H4" s="110" t="s">
        <v>377</v>
      </c>
      <c r="I4" s="110" t="s">
        <v>378</v>
      </c>
      <c r="J4" s="107" t="s">
        <v>16</v>
      </c>
      <c r="K4" s="107" t="s">
        <v>16</v>
      </c>
      <c r="L4" s="107" t="s">
        <v>16</v>
      </c>
      <c r="M4" s="107" t="s">
        <v>16</v>
      </c>
      <c r="N4" s="108" t="s">
        <v>379</v>
      </c>
      <c r="O4" s="85">
        <v>46175</v>
      </c>
      <c r="P4" s="109"/>
    </row>
    <row r="5" spans="1:16">
      <c r="A5" s="107">
        <v>23</v>
      </c>
      <c r="B5" s="85">
        <v>46175</v>
      </c>
      <c r="C5" s="15" t="s">
        <v>60</v>
      </c>
      <c r="D5" s="107">
        <v>112171</v>
      </c>
      <c r="E5" s="107" t="s">
        <v>57</v>
      </c>
      <c r="F5" s="107" t="s">
        <v>380</v>
      </c>
      <c r="G5" s="108">
        <v>351355310054127</v>
      </c>
      <c r="H5" s="110" t="s">
        <v>381</v>
      </c>
      <c r="I5" s="110" t="s">
        <v>382</v>
      </c>
      <c r="J5" s="107" t="s">
        <v>383</v>
      </c>
      <c r="K5" s="107">
        <v>8.9340124224470098E+18</v>
      </c>
      <c r="L5" s="107">
        <v>6385</v>
      </c>
      <c r="M5" s="107">
        <v>72491538</v>
      </c>
      <c r="N5" s="108" t="s">
        <v>384</v>
      </c>
      <c r="O5" s="85">
        <v>46175</v>
      </c>
      <c r="P5" s="109"/>
    </row>
    <row r="6" spans="1:16">
      <c r="A6" s="107">
        <v>23</v>
      </c>
      <c r="B6" s="85">
        <v>46176</v>
      </c>
      <c r="C6" s="15" t="s">
        <v>61</v>
      </c>
      <c r="D6" s="107">
        <v>112168</v>
      </c>
      <c r="E6" s="107" t="s">
        <v>55</v>
      </c>
      <c r="F6" s="107" t="s">
        <v>385</v>
      </c>
      <c r="G6" s="108" t="s">
        <v>386</v>
      </c>
      <c r="H6" s="110" t="s">
        <v>387</v>
      </c>
      <c r="I6" s="110" t="s">
        <v>388</v>
      </c>
      <c r="J6" s="107" t="s">
        <v>389</v>
      </c>
      <c r="K6" s="107">
        <v>8.9340124224470098E+18</v>
      </c>
      <c r="L6" s="107">
        <v>4172</v>
      </c>
      <c r="M6" s="107">
        <v>58362491</v>
      </c>
      <c r="N6" s="108" t="s">
        <v>390</v>
      </c>
      <c r="O6" s="85">
        <v>46176</v>
      </c>
      <c r="P6" s="109"/>
    </row>
    <row r="7" spans="1:16">
      <c r="A7" s="107">
        <v>23</v>
      </c>
      <c r="B7" s="85">
        <v>46176</v>
      </c>
      <c r="C7" s="25" t="s">
        <v>60</v>
      </c>
      <c r="D7" s="107">
        <v>112175</v>
      </c>
      <c r="E7" s="107" t="s">
        <v>56</v>
      </c>
      <c r="F7" s="107" t="s">
        <v>391</v>
      </c>
      <c r="G7" s="108">
        <v>353982372543187</v>
      </c>
      <c r="H7" s="110" t="s">
        <v>392</v>
      </c>
      <c r="I7" s="110" t="s">
        <v>393</v>
      </c>
      <c r="J7" s="107" t="s">
        <v>16</v>
      </c>
      <c r="K7" s="107" t="s">
        <v>16</v>
      </c>
      <c r="L7" s="107" t="s">
        <v>16</v>
      </c>
      <c r="M7" s="107" t="s">
        <v>16</v>
      </c>
      <c r="N7" s="108" t="s">
        <v>394</v>
      </c>
      <c r="O7" s="85">
        <v>46176</v>
      </c>
      <c r="P7" s="109"/>
    </row>
    <row r="8" spans="1:16">
      <c r="A8" s="107">
        <v>23</v>
      </c>
      <c r="B8" s="85">
        <v>46177</v>
      </c>
      <c r="C8" s="24" t="s">
        <v>61</v>
      </c>
      <c r="D8" s="107">
        <v>112181</v>
      </c>
      <c r="E8" s="107" t="s">
        <v>55</v>
      </c>
      <c r="F8" s="107" t="s">
        <v>395</v>
      </c>
      <c r="G8" s="108" t="s">
        <v>396</v>
      </c>
      <c r="H8" s="110" t="s">
        <v>397</v>
      </c>
      <c r="I8" s="110" t="s">
        <v>398</v>
      </c>
      <c r="J8" s="107" t="s">
        <v>399</v>
      </c>
      <c r="K8" s="107">
        <v>8.9340124224470098E+18</v>
      </c>
      <c r="L8" s="107">
        <v>2951</v>
      </c>
      <c r="M8" s="107">
        <v>81643725</v>
      </c>
      <c r="N8" s="108" t="s">
        <v>400</v>
      </c>
      <c r="O8" s="85">
        <v>46177</v>
      </c>
      <c r="P8" s="109"/>
    </row>
    <row r="9" spans="1:16">
      <c r="A9" s="107">
        <v>23</v>
      </c>
      <c r="B9" s="85">
        <v>46177</v>
      </c>
      <c r="C9" s="24" t="s">
        <v>60</v>
      </c>
      <c r="D9" s="107">
        <v>112184</v>
      </c>
      <c r="E9" s="107" t="s">
        <v>57</v>
      </c>
      <c r="F9" s="107" t="s">
        <v>401</v>
      </c>
      <c r="G9" s="108">
        <v>351355310054683</v>
      </c>
      <c r="H9" s="110" t="s">
        <v>402</v>
      </c>
      <c r="I9" s="110" t="s">
        <v>403</v>
      </c>
      <c r="J9" s="107" t="s">
        <v>16</v>
      </c>
      <c r="K9" s="107" t="s">
        <v>16</v>
      </c>
      <c r="L9" s="107" t="s">
        <v>16</v>
      </c>
      <c r="M9" s="107" t="s">
        <v>16</v>
      </c>
      <c r="N9" s="108" t="s">
        <v>404</v>
      </c>
      <c r="O9" s="85">
        <v>46177</v>
      </c>
      <c r="P9" s="109" t="s">
        <v>405</v>
      </c>
    </row>
    <row r="10" spans="1:16">
      <c r="A10" s="107">
        <v>23</v>
      </c>
      <c r="B10" s="85">
        <v>46178</v>
      </c>
      <c r="C10" s="24" t="s">
        <v>61</v>
      </c>
      <c r="D10" s="107">
        <v>112190</v>
      </c>
      <c r="E10" s="107" t="s">
        <v>55</v>
      </c>
      <c r="F10" s="107" t="s">
        <v>406</v>
      </c>
      <c r="G10" s="108" t="s">
        <v>407</v>
      </c>
      <c r="H10" s="110" t="s">
        <v>408</v>
      </c>
      <c r="I10" s="110" t="s">
        <v>409</v>
      </c>
      <c r="J10" s="107" t="s">
        <v>410</v>
      </c>
      <c r="K10" s="107">
        <v>8.9340124224470098E+18</v>
      </c>
      <c r="L10" s="107">
        <v>7514</v>
      </c>
      <c r="M10" s="107">
        <v>43982617</v>
      </c>
      <c r="N10" s="108" t="s">
        <v>411</v>
      </c>
      <c r="O10" s="85">
        <v>46178</v>
      </c>
      <c r="P10" s="109"/>
    </row>
    <row r="11" spans="1:16">
      <c r="A11" s="107">
        <v>23</v>
      </c>
      <c r="B11" s="85">
        <v>46178</v>
      </c>
      <c r="C11" s="24" t="s">
        <v>60</v>
      </c>
      <c r="D11" s="107">
        <v>112193</v>
      </c>
      <c r="E11" s="107" t="s">
        <v>55</v>
      </c>
      <c r="F11" s="107" t="s">
        <v>412</v>
      </c>
      <c r="G11" s="108" t="s">
        <v>413</v>
      </c>
      <c r="H11" s="110" t="s">
        <v>414</v>
      </c>
      <c r="I11" s="110" t="s">
        <v>415</v>
      </c>
      <c r="J11" s="107" t="s">
        <v>16</v>
      </c>
      <c r="K11" s="107" t="s">
        <v>16</v>
      </c>
      <c r="L11" s="107" t="s">
        <v>16</v>
      </c>
      <c r="M11" s="107" t="s">
        <v>16</v>
      </c>
      <c r="N11" s="108" t="s">
        <v>416</v>
      </c>
      <c r="O11" s="85">
        <v>46178</v>
      </c>
      <c r="P11" s="109"/>
    </row>
    <row r="12" spans="1:16">
      <c r="A12" s="107">
        <v>23</v>
      </c>
      <c r="B12" s="85">
        <v>46179</v>
      </c>
      <c r="C12" s="24" t="s">
        <v>60</v>
      </c>
      <c r="D12" s="107">
        <v>112199</v>
      </c>
      <c r="E12" s="107" t="s">
        <v>57</v>
      </c>
      <c r="F12" s="107" t="s">
        <v>417</v>
      </c>
      <c r="G12" s="108">
        <v>351355310055214</v>
      </c>
      <c r="H12" s="110" t="s">
        <v>418</v>
      </c>
      <c r="I12" s="110" t="s">
        <v>419</v>
      </c>
      <c r="J12" s="107" t="s">
        <v>420</v>
      </c>
      <c r="K12" s="107">
        <v>8.9340124224470098E+18</v>
      </c>
      <c r="L12" s="107">
        <v>8263</v>
      </c>
      <c r="M12" s="107">
        <v>59173824</v>
      </c>
      <c r="N12" s="108" t="s">
        <v>421</v>
      </c>
      <c r="O12" s="85">
        <v>46179</v>
      </c>
      <c r="P12" s="109"/>
    </row>
    <row r="13" spans="1:16">
      <c r="A13" s="107">
        <v>23</v>
      </c>
      <c r="B13" s="85">
        <v>46181</v>
      </c>
      <c r="C13" s="24" t="s">
        <v>61</v>
      </c>
      <c r="D13" s="107">
        <v>112205</v>
      </c>
      <c r="E13" s="107" t="s">
        <v>55</v>
      </c>
      <c r="F13" s="107" t="s">
        <v>422</v>
      </c>
      <c r="G13" s="108" t="s">
        <v>423</v>
      </c>
      <c r="H13" s="110" t="s">
        <v>424</v>
      </c>
      <c r="I13" s="110" t="s">
        <v>425</v>
      </c>
      <c r="J13" s="107" t="s">
        <v>426</v>
      </c>
      <c r="K13" s="107">
        <v>8.9340124224470098E+18</v>
      </c>
      <c r="L13" s="107">
        <v>3748</v>
      </c>
      <c r="M13" s="107">
        <v>92516473</v>
      </c>
      <c r="N13" s="108" t="s">
        <v>427</v>
      </c>
      <c r="O13" s="85">
        <v>46181</v>
      </c>
      <c r="P13" s="109"/>
    </row>
    <row r="14" spans="1:16">
      <c r="A14" s="107">
        <v>24</v>
      </c>
      <c r="B14" s="85">
        <v>46181</v>
      </c>
      <c r="C14" s="24" t="s">
        <v>60</v>
      </c>
      <c r="D14" s="107">
        <v>112211</v>
      </c>
      <c r="E14" s="107" t="s">
        <v>56</v>
      </c>
      <c r="F14" s="107" t="s">
        <v>428</v>
      </c>
      <c r="G14" s="108">
        <v>353982372543264</v>
      </c>
      <c r="H14" s="110" t="s">
        <v>429</v>
      </c>
      <c r="I14" s="110" t="s">
        <v>430</v>
      </c>
      <c r="J14" s="107" t="s">
        <v>16</v>
      </c>
      <c r="K14" s="107" t="s">
        <v>16</v>
      </c>
      <c r="L14" s="107" t="s">
        <v>16</v>
      </c>
      <c r="M14" s="107" t="s">
        <v>16</v>
      </c>
      <c r="N14" s="108" t="s">
        <v>379</v>
      </c>
      <c r="O14" s="85">
        <v>46181</v>
      </c>
      <c r="P14" s="109"/>
    </row>
    <row r="15" spans="1:16">
      <c r="A15" s="107">
        <v>24</v>
      </c>
      <c r="B15" s="85">
        <v>46182</v>
      </c>
      <c r="C15" s="15" t="s">
        <v>61</v>
      </c>
      <c r="D15" s="107">
        <v>112218</v>
      </c>
      <c r="E15" s="107" t="s">
        <v>57</v>
      </c>
      <c r="F15" s="107" t="s">
        <v>431</v>
      </c>
      <c r="G15" s="108">
        <v>351355310055847</v>
      </c>
      <c r="H15" s="110" t="s">
        <v>432</v>
      </c>
      <c r="I15" s="110" t="s">
        <v>433</v>
      </c>
      <c r="J15" s="107" t="s">
        <v>434</v>
      </c>
      <c r="K15" s="107">
        <v>8.9340124224470098E+18</v>
      </c>
      <c r="L15" s="107">
        <v>5427</v>
      </c>
      <c r="M15" s="107">
        <v>67391845</v>
      </c>
      <c r="N15" s="108" t="s">
        <v>435</v>
      </c>
      <c r="O15" s="85">
        <v>46182</v>
      </c>
      <c r="P15" s="109"/>
    </row>
    <row r="16" spans="1:16">
      <c r="A16" s="107">
        <v>24</v>
      </c>
      <c r="B16" s="85">
        <v>46182</v>
      </c>
      <c r="C16" s="15" t="s">
        <v>60</v>
      </c>
      <c r="D16" s="107">
        <v>112221</v>
      </c>
      <c r="E16" s="107" t="s">
        <v>55</v>
      </c>
      <c r="F16" s="107" t="s">
        <v>436</v>
      </c>
      <c r="G16" s="108" t="s">
        <v>437</v>
      </c>
      <c r="H16" s="110" t="s">
        <v>438</v>
      </c>
      <c r="I16" s="110" t="s">
        <v>439</v>
      </c>
      <c r="J16" s="107" t="s">
        <v>16</v>
      </c>
      <c r="K16" s="107" t="s">
        <v>16</v>
      </c>
      <c r="L16" s="107" t="s">
        <v>16</v>
      </c>
      <c r="M16" s="107" t="s">
        <v>16</v>
      </c>
      <c r="N16" s="108" t="s">
        <v>440</v>
      </c>
      <c r="O16" s="85">
        <v>46182</v>
      </c>
      <c r="P16" s="109"/>
    </row>
    <row r="17" spans="1:16" ht="38.25" customHeight="1">
      <c r="A17" s="107">
        <v>24</v>
      </c>
      <c r="B17" s="85">
        <v>46183</v>
      </c>
      <c r="C17" s="15" t="s">
        <v>61</v>
      </c>
      <c r="D17" s="107">
        <v>112227</v>
      </c>
      <c r="E17" s="107" t="s">
        <v>55</v>
      </c>
      <c r="F17" s="107" t="s">
        <v>441</v>
      </c>
      <c r="G17" s="108" t="s">
        <v>442</v>
      </c>
      <c r="H17" s="110" t="s">
        <v>443</v>
      </c>
      <c r="I17" s="110" t="s">
        <v>444</v>
      </c>
      <c r="J17" s="107" t="s">
        <v>445</v>
      </c>
      <c r="K17" s="107">
        <v>8.9340124224470098E+18</v>
      </c>
      <c r="L17" s="107">
        <v>1836</v>
      </c>
      <c r="M17" s="107">
        <v>45271693</v>
      </c>
      <c r="N17" s="108" t="s">
        <v>446</v>
      </c>
      <c r="O17" s="85">
        <v>46183</v>
      </c>
      <c r="P17" s="109"/>
    </row>
    <row r="18" spans="1:16">
      <c r="A18" s="107">
        <v>24</v>
      </c>
      <c r="B18" s="85">
        <v>46183</v>
      </c>
      <c r="C18" s="15" t="s">
        <v>60</v>
      </c>
      <c r="D18" s="107">
        <v>112231</v>
      </c>
      <c r="E18" s="107" t="s">
        <v>57</v>
      </c>
      <c r="F18" s="107" t="s">
        <v>447</v>
      </c>
      <c r="G18" s="108">
        <v>351355310056392</v>
      </c>
      <c r="H18" s="110" t="s">
        <v>448</v>
      </c>
      <c r="I18" s="110" t="s">
        <v>449</v>
      </c>
      <c r="J18" s="107" t="s">
        <v>450</v>
      </c>
      <c r="K18" s="107">
        <v>8.9340124224470098E+18</v>
      </c>
      <c r="L18" s="107">
        <v>6942</v>
      </c>
      <c r="M18" s="107">
        <v>81732546</v>
      </c>
      <c r="N18" s="108" t="s">
        <v>451</v>
      </c>
      <c r="O18" s="85">
        <v>46183</v>
      </c>
      <c r="P18" s="109"/>
    </row>
    <row r="19" spans="1:16">
      <c r="A19" s="107">
        <v>24</v>
      </c>
      <c r="B19" s="85">
        <v>46184</v>
      </c>
      <c r="C19" s="15" t="s">
        <v>61</v>
      </c>
      <c r="D19" s="107">
        <v>112236</v>
      </c>
      <c r="E19" s="107" t="s">
        <v>55</v>
      </c>
      <c r="F19" s="107" t="s">
        <v>452</v>
      </c>
      <c r="G19" s="108" t="s">
        <v>453</v>
      </c>
      <c r="H19" s="110" t="s">
        <v>454</v>
      </c>
      <c r="I19" s="110" t="s">
        <v>455</v>
      </c>
      <c r="J19" s="107" t="s">
        <v>456</v>
      </c>
      <c r="K19" s="107">
        <v>8.9340124224470098E+18</v>
      </c>
      <c r="L19" s="107">
        <v>3517</v>
      </c>
      <c r="M19" s="107">
        <v>62841953</v>
      </c>
      <c r="N19" s="108" t="s">
        <v>457</v>
      </c>
      <c r="O19" s="85">
        <v>46184</v>
      </c>
      <c r="P19" s="109"/>
    </row>
    <row r="20" spans="1:16">
      <c r="A20" s="107">
        <v>24</v>
      </c>
      <c r="B20" s="85">
        <v>46184</v>
      </c>
      <c r="C20" s="24" t="s">
        <v>60</v>
      </c>
      <c r="D20" s="107">
        <v>112241</v>
      </c>
      <c r="E20" s="107" t="s">
        <v>56</v>
      </c>
      <c r="F20" s="107" t="s">
        <v>458</v>
      </c>
      <c r="G20" s="108">
        <v>353982372543319</v>
      </c>
      <c r="H20" s="110" t="s">
        <v>459</v>
      </c>
      <c r="I20" s="110" t="s">
        <v>460</v>
      </c>
      <c r="J20" s="107" t="s">
        <v>16</v>
      </c>
      <c r="K20" s="107" t="s">
        <v>16</v>
      </c>
      <c r="L20" s="107" t="s">
        <v>16</v>
      </c>
      <c r="M20" s="107" t="s">
        <v>16</v>
      </c>
      <c r="N20" s="108" t="s">
        <v>461</v>
      </c>
      <c r="O20" s="85">
        <v>46184</v>
      </c>
      <c r="P20" s="109"/>
    </row>
    <row r="21" spans="1:16">
      <c r="A21" s="107">
        <v>24</v>
      </c>
      <c r="B21" s="85">
        <v>46185</v>
      </c>
      <c r="C21" s="25" t="s">
        <v>61</v>
      </c>
      <c r="D21" s="107">
        <v>112247</v>
      </c>
      <c r="E21" s="107" t="s">
        <v>57</v>
      </c>
      <c r="F21" s="107" t="s">
        <v>462</v>
      </c>
      <c r="G21" s="108">
        <v>351355310056874</v>
      </c>
      <c r="H21" s="110" t="s">
        <v>463</v>
      </c>
      <c r="I21" s="110" t="s">
        <v>464</v>
      </c>
      <c r="J21" s="107" t="s">
        <v>465</v>
      </c>
      <c r="K21" s="107">
        <v>8.9340124224470098E+18</v>
      </c>
      <c r="L21" s="107">
        <v>4286</v>
      </c>
      <c r="M21" s="107">
        <v>93517264</v>
      </c>
      <c r="N21" s="108" t="s">
        <v>379</v>
      </c>
      <c r="O21" s="85">
        <v>46185</v>
      </c>
      <c r="P21" s="109"/>
    </row>
    <row r="22" spans="1:16">
      <c r="A22" s="107">
        <v>24</v>
      </c>
      <c r="B22" s="85">
        <v>46185</v>
      </c>
      <c r="C22" s="24" t="s">
        <v>60</v>
      </c>
      <c r="D22" s="107">
        <v>112252</v>
      </c>
      <c r="E22" s="107" t="s">
        <v>55</v>
      </c>
      <c r="F22" s="107" t="s">
        <v>466</v>
      </c>
      <c r="G22" s="108" t="s">
        <v>467</v>
      </c>
      <c r="H22" s="110" t="s">
        <v>468</v>
      </c>
      <c r="I22" s="110" t="s">
        <v>469</v>
      </c>
      <c r="J22" s="107" t="s">
        <v>16</v>
      </c>
      <c r="K22" s="107" t="s">
        <v>16</v>
      </c>
      <c r="L22" s="107" t="s">
        <v>16</v>
      </c>
      <c r="M22" s="107" t="s">
        <v>16</v>
      </c>
      <c r="N22" s="108" t="s">
        <v>470</v>
      </c>
      <c r="O22" s="85">
        <v>46185</v>
      </c>
      <c r="P22" s="109"/>
    </row>
    <row r="23" spans="1:16">
      <c r="A23" s="107">
        <v>25</v>
      </c>
      <c r="B23" s="85">
        <v>46188</v>
      </c>
      <c r="C23" s="15" t="s">
        <v>61</v>
      </c>
      <c r="D23" s="107">
        <v>112258</v>
      </c>
      <c r="E23" s="107" t="s">
        <v>55</v>
      </c>
      <c r="F23" s="107" t="s">
        <v>471</v>
      </c>
      <c r="G23" s="108" t="s">
        <v>472</v>
      </c>
      <c r="H23" s="110" t="s">
        <v>473</v>
      </c>
      <c r="I23" s="110" t="s">
        <v>474</v>
      </c>
      <c r="J23" s="107" t="s">
        <v>475</v>
      </c>
      <c r="K23" s="107">
        <v>8.9340124224470098E+18</v>
      </c>
      <c r="L23" s="107">
        <v>7195</v>
      </c>
      <c r="M23" s="107">
        <v>48163725</v>
      </c>
      <c r="N23" s="108" t="s">
        <v>476</v>
      </c>
      <c r="O23" s="85">
        <v>46188</v>
      </c>
      <c r="P23" s="109"/>
    </row>
    <row r="24" spans="1:16">
      <c r="A24" s="107">
        <v>25</v>
      </c>
      <c r="B24" s="85">
        <v>46188</v>
      </c>
      <c r="C24" s="24" t="s">
        <v>60</v>
      </c>
      <c r="D24" s="107">
        <v>112263</v>
      </c>
      <c r="E24" s="107" t="s">
        <v>57</v>
      </c>
      <c r="F24" s="107" t="s">
        <v>477</v>
      </c>
      <c r="G24" s="108">
        <v>351355310057426</v>
      </c>
      <c r="H24" s="110" t="s">
        <v>478</v>
      </c>
      <c r="I24" s="110" t="s">
        <v>479</v>
      </c>
      <c r="J24" s="107" t="s">
        <v>480</v>
      </c>
      <c r="K24" s="107">
        <v>8.9340124224470098E+18</v>
      </c>
      <c r="L24" s="107">
        <v>2638</v>
      </c>
      <c r="M24" s="107">
        <v>75921483</v>
      </c>
      <c r="N24" s="108" t="s">
        <v>481</v>
      </c>
      <c r="O24" s="85">
        <v>46188</v>
      </c>
      <c r="P24" s="109"/>
    </row>
    <row r="25" spans="1:16">
      <c r="A25" s="107">
        <v>25</v>
      </c>
      <c r="B25" s="85">
        <v>46189</v>
      </c>
      <c r="C25" s="24" t="s">
        <v>61</v>
      </c>
      <c r="D25" s="107">
        <v>112269</v>
      </c>
      <c r="E25" s="107" t="s">
        <v>55</v>
      </c>
      <c r="F25" s="107" t="s">
        <v>482</v>
      </c>
      <c r="G25" s="108" t="s">
        <v>483</v>
      </c>
      <c r="H25" s="110" t="s">
        <v>484</v>
      </c>
      <c r="I25" s="110" t="s">
        <v>485</v>
      </c>
      <c r="J25" s="107" t="s">
        <v>486</v>
      </c>
      <c r="K25" s="107">
        <v>8.9340124224470098E+18</v>
      </c>
      <c r="L25" s="107">
        <v>8452</v>
      </c>
      <c r="M25" s="107">
        <v>31692574</v>
      </c>
      <c r="N25" s="108" t="s">
        <v>487</v>
      </c>
      <c r="O25" s="85">
        <v>46189</v>
      </c>
      <c r="P25" s="107"/>
    </row>
    <row r="26" spans="1:16">
      <c r="A26" s="107">
        <v>25</v>
      </c>
      <c r="B26" s="85">
        <v>46189</v>
      </c>
      <c r="C26" s="24" t="s">
        <v>60</v>
      </c>
      <c r="D26" s="107">
        <v>112274</v>
      </c>
      <c r="E26" s="107" t="s">
        <v>56</v>
      </c>
      <c r="F26" s="107" t="s">
        <v>488</v>
      </c>
      <c r="G26" s="108">
        <v>353982372543406</v>
      </c>
      <c r="H26" s="110" t="s">
        <v>489</v>
      </c>
      <c r="I26" s="110" t="s">
        <v>490</v>
      </c>
      <c r="J26" s="107" t="s">
        <v>16</v>
      </c>
      <c r="K26" s="107" t="s">
        <v>16</v>
      </c>
      <c r="L26" s="107" t="s">
        <v>16</v>
      </c>
      <c r="M26" s="107" t="s">
        <v>16</v>
      </c>
      <c r="N26" s="108" t="s">
        <v>491</v>
      </c>
      <c r="O26" s="85">
        <v>46189</v>
      </c>
      <c r="P26" s="107"/>
    </row>
    <row r="27" spans="1:16">
      <c r="A27" s="107">
        <v>25</v>
      </c>
      <c r="B27" s="85">
        <v>46190</v>
      </c>
      <c r="C27" s="24" t="s">
        <v>61</v>
      </c>
      <c r="D27" s="107">
        <v>112281</v>
      </c>
      <c r="E27" s="107" t="s">
        <v>57</v>
      </c>
      <c r="F27" s="107" t="s">
        <v>492</v>
      </c>
      <c r="G27" s="108">
        <v>351355310058013</v>
      </c>
      <c r="H27" s="110" t="s">
        <v>493</v>
      </c>
      <c r="I27" s="110" t="s">
        <v>494</v>
      </c>
      <c r="J27" s="107" t="s">
        <v>495</v>
      </c>
      <c r="K27" s="107">
        <v>8.9340124224470098E+18</v>
      </c>
      <c r="L27" s="107">
        <v>5963</v>
      </c>
      <c r="M27" s="107">
        <v>84271365</v>
      </c>
      <c r="N27" s="108" t="s">
        <v>496</v>
      </c>
      <c r="O27" s="85">
        <v>46190</v>
      </c>
      <c r="P27" s="107"/>
    </row>
    <row r="28" spans="1:16">
      <c r="A28" s="107">
        <v>25</v>
      </c>
      <c r="B28" s="85">
        <v>46190</v>
      </c>
      <c r="C28" s="24" t="s">
        <v>60</v>
      </c>
      <c r="D28" s="107">
        <v>112286</v>
      </c>
      <c r="E28" s="107" t="s">
        <v>55</v>
      </c>
      <c r="F28" s="107" t="s">
        <v>497</v>
      </c>
      <c r="G28" s="108" t="s">
        <v>498</v>
      </c>
      <c r="H28" s="110" t="s">
        <v>499</v>
      </c>
      <c r="I28" s="110" t="s">
        <v>500</v>
      </c>
      <c r="J28" s="107" t="s">
        <v>16</v>
      </c>
      <c r="K28" s="107" t="s">
        <v>16</v>
      </c>
      <c r="L28" s="107" t="s">
        <v>16</v>
      </c>
      <c r="M28" s="107" t="s">
        <v>16</v>
      </c>
      <c r="N28" s="108" t="s">
        <v>501</v>
      </c>
      <c r="O28" s="85">
        <v>46190</v>
      </c>
      <c r="P28" s="107" t="s">
        <v>502</v>
      </c>
    </row>
    <row r="29" spans="1:16">
      <c r="J29" s="81"/>
      <c r="K29" s="81"/>
      <c r="L29" s="81"/>
      <c r="M29" s="81"/>
    </row>
    <row r="30" spans="1:16">
      <c r="J30" s="81"/>
      <c r="K30" s="81"/>
      <c r="L30" s="81"/>
      <c r="M30" s="81"/>
    </row>
    <row r="31" spans="1:16">
      <c r="J31" s="81"/>
      <c r="K31" s="81"/>
      <c r="L31" s="81"/>
      <c r="M31" s="81"/>
    </row>
    <row r="32" spans="1:16">
      <c r="J32" s="81"/>
      <c r="K32" s="81"/>
      <c r="L32" s="81"/>
      <c r="M32" s="81"/>
    </row>
    <row r="33" spans="10:13">
      <c r="J33" s="81"/>
      <c r="K33" s="81"/>
      <c r="L33" s="81"/>
      <c r="M33" s="81"/>
    </row>
    <row r="34" spans="10:13">
      <c r="J34" s="81"/>
      <c r="K34" s="81"/>
      <c r="L34" s="81"/>
      <c r="M34" s="81"/>
    </row>
    <row r="35" spans="10:13">
      <c r="J35" s="81"/>
      <c r="K35" s="81"/>
      <c r="L35" s="81"/>
      <c r="M35" s="81"/>
    </row>
    <row r="36" spans="10:13">
      <c r="J36" s="81"/>
      <c r="K36" s="81"/>
      <c r="L36" s="81"/>
      <c r="M36" s="81"/>
    </row>
    <row r="37" spans="10:13">
      <c r="J37" s="81"/>
      <c r="K37" s="81"/>
      <c r="L37" s="81"/>
      <c r="M37" s="81"/>
    </row>
    <row r="38" spans="10:13">
      <c r="J38" s="81"/>
      <c r="K38" s="81"/>
      <c r="L38" s="81"/>
      <c r="M38" s="81"/>
    </row>
    <row r="39" spans="10:13">
      <c r="J39" s="81"/>
      <c r="K39" s="81"/>
      <c r="L39" s="81"/>
      <c r="M39" s="81"/>
    </row>
    <row r="40" spans="10:13">
      <c r="J40" s="81"/>
      <c r="K40" s="81"/>
      <c r="L40" s="81"/>
      <c r="M40" s="81"/>
    </row>
    <row r="41" spans="10:13">
      <c r="J41" s="81"/>
      <c r="K41" s="81"/>
      <c r="L41" s="81"/>
      <c r="M41" s="81"/>
    </row>
    <row r="42" spans="10:13">
      <c r="J42" s="81"/>
      <c r="K42" s="81"/>
      <c r="L42" s="81"/>
      <c r="M42" s="81"/>
    </row>
    <row r="43" spans="10:13">
      <c r="J43" s="81"/>
      <c r="K43" s="81"/>
      <c r="L43" s="81"/>
      <c r="M43" s="81"/>
    </row>
    <row r="44" spans="10:13">
      <c r="J44" s="81"/>
      <c r="K44" s="81"/>
      <c r="L44" s="81"/>
      <c r="M44" s="81"/>
    </row>
    <row r="45" spans="10:13">
      <c r="J45" s="81"/>
      <c r="K45" s="81"/>
      <c r="L45" s="81"/>
      <c r="M45" s="81"/>
    </row>
    <row r="46" spans="10:13">
      <c r="J46" s="81"/>
      <c r="K46" s="81"/>
      <c r="L46" s="81"/>
      <c r="M46" s="81"/>
    </row>
    <row r="47" spans="10:13">
      <c r="J47" s="81"/>
      <c r="K47" s="81"/>
      <c r="L47" s="81"/>
      <c r="M47" s="81"/>
    </row>
    <row r="48" spans="10:13">
      <c r="J48" s="81"/>
      <c r="K48" s="81"/>
      <c r="L48" s="81"/>
      <c r="M48" s="81"/>
    </row>
    <row r="49" spans="10:13">
      <c r="J49" s="81"/>
      <c r="K49" s="81"/>
      <c r="L49" s="81"/>
      <c r="M49" s="81"/>
    </row>
    <row r="50" spans="10:13">
      <c r="J50" s="81"/>
      <c r="K50" s="81"/>
      <c r="L50" s="81"/>
      <c r="M50" s="81"/>
    </row>
    <row r="51" spans="10:13">
      <c r="J51" s="81"/>
      <c r="K51" s="81"/>
      <c r="L51" s="81"/>
      <c r="M51" s="81"/>
    </row>
    <row r="52" spans="10:13">
      <c r="J52" s="81"/>
      <c r="K52" s="81"/>
      <c r="L52" s="81"/>
      <c r="M52" s="81"/>
    </row>
    <row r="53" spans="10:13">
      <c r="J53" s="81"/>
      <c r="K53" s="81"/>
      <c r="L53" s="81"/>
      <c r="M53" s="81"/>
    </row>
    <row r="54" spans="10:13">
      <c r="J54" s="81"/>
      <c r="K54" s="81"/>
      <c r="L54" s="81"/>
      <c r="M54" s="81"/>
    </row>
    <row r="55" spans="10:13">
      <c r="J55" s="81"/>
      <c r="K55" s="81"/>
      <c r="L55" s="81"/>
      <c r="M55" s="81"/>
    </row>
    <row r="56" spans="10:13">
      <c r="J56" s="81"/>
      <c r="K56" s="81"/>
      <c r="L56" s="81"/>
      <c r="M56" s="81"/>
    </row>
    <row r="57" spans="10:13">
      <c r="J57" s="81"/>
      <c r="K57" s="81"/>
      <c r="L57" s="81"/>
      <c r="M57" s="81"/>
    </row>
    <row r="58" spans="10:13">
      <c r="J58" s="81"/>
      <c r="K58" s="81"/>
      <c r="L58" s="81"/>
      <c r="M58" s="81"/>
    </row>
    <row r="59" spans="10:13">
      <c r="J59" s="81"/>
      <c r="K59" s="81"/>
      <c r="L59" s="81"/>
      <c r="M59" s="81"/>
    </row>
    <row r="60" spans="10:13">
      <c r="J60" s="81"/>
      <c r="K60" s="81"/>
      <c r="L60" s="81"/>
      <c r="M60" s="81"/>
    </row>
    <row r="61" spans="10:13">
      <c r="J61" s="81"/>
      <c r="K61" s="81"/>
      <c r="L61" s="81"/>
      <c r="M61" s="81"/>
    </row>
    <row r="62" spans="10:13">
      <c r="J62" s="81"/>
      <c r="K62" s="81"/>
      <c r="L62" s="81"/>
      <c r="M62" s="81"/>
    </row>
    <row r="63" spans="10:13">
      <c r="J63" s="81"/>
      <c r="K63" s="81"/>
      <c r="L63" s="81"/>
      <c r="M63" s="81"/>
    </row>
    <row r="64" spans="10:13">
      <c r="J64" s="81"/>
      <c r="K64" s="81"/>
      <c r="L64" s="81"/>
      <c r="M64" s="81"/>
    </row>
    <row r="65" spans="10:13">
      <c r="J65" s="81"/>
      <c r="K65" s="81"/>
      <c r="L65" s="81"/>
      <c r="M65" s="81"/>
    </row>
    <row r="66" spans="10:13">
      <c r="J66" s="81"/>
      <c r="K66" s="81"/>
      <c r="L66" s="81"/>
      <c r="M66" s="81"/>
    </row>
    <row r="67" spans="10:13">
      <c r="J67" s="81"/>
      <c r="K67" s="81"/>
      <c r="L67" s="81"/>
      <c r="M67" s="81"/>
    </row>
    <row r="68" spans="10:13">
      <c r="J68" s="81"/>
      <c r="K68" s="81"/>
      <c r="L68" s="81"/>
      <c r="M68" s="81"/>
    </row>
    <row r="69" spans="10:13">
      <c r="J69" s="81"/>
      <c r="K69" s="81"/>
      <c r="L69" s="81"/>
      <c r="M69" s="81"/>
    </row>
    <row r="70" spans="10:13">
      <c r="J70" s="81"/>
      <c r="K70" s="81"/>
      <c r="L70" s="81"/>
      <c r="M70" s="81"/>
    </row>
    <row r="71" spans="10:13">
      <c r="J71" s="81"/>
      <c r="K71" s="81"/>
      <c r="L71" s="81"/>
      <c r="M71" s="81"/>
    </row>
    <row r="72" spans="10:13">
      <c r="J72" s="81"/>
      <c r="K72" s="81"/>
      <c r="L72" s="81"/>
      <c r="M72" s="81"/>
    </row>
    <row r="73" spans="10:13">
      <c r="J73" s="81"/>
      <c r="K73" s="81"/>
      <c r="L73" s="81"/>
      <c r="M73" s="81"/>
    </row>
    <row r="74" spans="10:13">
      <c r="J74" s="81"/>
      <c r="K74" s="81"/>
      <c r="L74" s="81"/>
      <c r="M74" s="81"/>
    </row>
    <row r="75" spans="10:13">
      <c r="J75" s="81"/>
      <c r="K75" s="81"/>
      <c r="L75" s="81"/>
      <c r="M75" s="81"/>
    </row>
    <row r="76" spans="10:13">
      <c r="J76" s="81"/>
      <c r="K76" s="81"/>
      <c r="L76" s="81"/>
      <c r="M76" s="81"/>
    </row>
    <row r="77" spans="10:13">
      <c r="J77" s="81"/>
      <c r="K77" s="81"/>
      <c r="L77" s="81"/>
      <c r="M77" s="81"/>
    </row>
    <row r="78" spans="10:13">
      <c r="J78" s="81"/>
      <c r="K78" s="81"/>
      <c r="L78" s="81"/>
      <c r="M78" s="81"/>
    </row>
    <row r="79" spans="10:13">
      <c r="J79" s="81"/>
      <c r="K79" s="81"/>
      <c r="L79" s="81"/>
      <c r="M79" s="81"/>
    </row>
    <row r="80" spans="10:13">
      <c r="J80" s="81"/>
      <c r="K80" s="81"/>
      <c r="L80" s="81"/>
      <c r="M80" s="81"/>
    </row>
    <row r="81" spans="10:13">
      <c r="J81" s="81"/>
      <c r="K81" s="81"/>
      <c r="L81" s="81"/>
      <c r="M81" s="81"/>
    </row>
    <row r="82" spans="10:13">
      <c r="J82" s="81"/>
      <c r="K82" s="81"/>
      <c r="L82" s="81"/>
      <c r="M82" s="81"/>
    </row>
    <row r="83" spans="10:13">
      <c r="J83" s="81"/>
      <c r="K83" s="81"/>
      <c r="L83" s="81"/>
      <c r="M83" s="81"/>
    </row>
    <row r="84" spans="10:13">
      <c r="J84" s="81"/>
      <c r="K84" s="81"/>
      <c r="L84" s="81"/>
      <c r="M84" s="81"/>
    </row>
    <row r="85" spans="10:13">
      <c r="J85" s="81"/>
      <c r="K85" s="81"/>
      <c r="L85" s="81"/>
      <c r="M85" s="81"/>
    </row>
    <row r="86" spans="10:13">
      <c r="J86" s="81"/>
      <c r="K86" s="81"/>
      <c r="L86" s="81"/>
      <c r="M86" s="81"/>
    </row>
    <row r="87" spans="10:13">
      <c r="J87" s="81"/>
      <c r="K87" s="81"/>
      <c r="L87" s="81"/>
      <c r="M87" s="81"/>
    </row>
    <row r="88" spans="10:13">
      <c r="J88" s="81"/>
      <c r="K88" s="81"/>
      <c r="L88" s="81"/>
      <c r="M88" s="81"/>
    </row>
    <row r="89" spans="10:13">
      <c r="J89" s="81"/>
      <c r="K89" s="81"/>
      <c r="L89" s="81"/>
      <c r="M89" s="81"/>
    </row>
    <row r="90" spans="10:13">
      <c r="J90" s="81"/>
      <c r="K90" s="81"/>
      <c r="L90" s="81"/>
      <c r="M90" s="81"/>
    </row>
    <row r="91" spans="10:13">
      <c r="J91" s="81"/>
      <c r="K91" s="81"/>
      <c r="L91" s="81"/>
      <c r="M91" s="81"/>
    </row>
    <row r="92" spans="10:13">
      <c r="J92" s="81"/>
      <c r="K92" s="81"/>
      <c r="L92" s="81"/>
      <c r="M92" s="81"/>
    </row>
    <row r="93" spans="10:13">
      <c r="J93" s="81"/>
      <c r="K93" s="81"/>
      <c r="L93" s="81"/>
      <c r="M93" s="81"/>
    </row>
    <row r="94" spans="10:13">
      <c r="J94" s="81"/>
      <c r="K94" s="81"/>
      <c r="L94" s="81"/>
      <c r="M94" s="81"/>
    </row>
    <row r="95" spans="10:13">
      <c r="J95" s="81"/>
      <c r="K95" s="81"/>
      <c r="L95" s="81"/>
      <c r="M95" s="81"/>
    </row>
    <row r="96" spans="10:13">
      <c r="J96" s="81"/>
      <c r="K96" s="81"/>
      <c r="L96" s="81"/>
      <c r="M96" s="81"/>
    </row>
    <row r="97" spans="10:13">
      <c r="J97" s="81"/>
      <c r="K97" s="81"/>
      <c r="L97" s="81"/>
      <c r="M97" s="81"/>
    </row>
    <row r="98" spans="10:13">
      <c r="J98" s="81"/>
      <c r="K98" s="81"/>
      <c r="L98" s="81"/>
      <c r="M98" s="81"/>
    </row>
    <row r="99" spans="10:13">
      <c r="J99" s="81"/>
      <c r="K99" s="81"/>
      <c r="L99" s="81"/>
      <c r="M99" s="81"/>
    </row>
    <row r="100" spans="10:13">
      <c r="J100" s="81"/>
      <c r="K100" s="81"/>
      <c r="L100" s="81"/>
      <c r="M100" s="81"/>
    </row>
    <row r="101" spans="10:13">
      <c r="J101" s="81"/>
      <c r="K101" s="81"/>
      <c r="L101" s="81"/>
      <c r="M101" s="81"/>
    </row>
    <row r="102" spans="10:13">
      <c r="J102" s="81"/>
      <c r="K102" s="81"/>
      <c r="L102" s="81"/>
      <c r="M102" s="81"/>
    </row>
    <row r="103" spans="10:13">
      <c r="J103" s="81"/>
      <c r="K103" s="81"/>
      <c r="L103" s="81"/>
      <c r="M103" s="81"/>
    </row>
    <row r="104" spans="10:13">
      <c r="J104" s="81"/>
      <c r="K104" s="81"/>
      <c r="L104" s="81"/>
      <c r="M104" s="81"/>
    </row>
    <row r="105" spans="10:13">
      <c r="J105" s="81"/>
      <c r="K105" s="81"/>
      <c r="L105" s="81"/>
      <c r="M105" s="81"/>
    </row>
    <row r="106" spans="10:13">
      <c r="J106" s="81"/>
      <c r="K106" s="81"/>
      <c r="L106" s="81"/>
      <c r="M106" s="81"/>
    </row>
    <row r="107" spans="10:13">
      <c r="J107" s="81"/>
      <c r="K107" s="81"/>
      <c r="L107" s="81"/>
      <c r="M107" s="81"/>
    </row>
    <row r="108" spans="10:13">
      <c r="J108" s="81"/>
      <c r="K108" s="81"/>
      <c r="L108" s="81"/>
      <c r="M108" s="81"/>
    </row>
    <row r="109" spans="10:13">
      <c r="J109" s="81"/>
      <c r="K109" s="81"/>
      <c r="L109" s="81"/>
      <c r="M109" s="81"/>
    </row>
    <row r="110" spans="10:13">
      <c r="J110" s="81"/>
      <c r="K110" s="81"/>
      <c r="L110" s="81"/>
      <c r="M110" s="81"/>
    </row>
    <row r="111" spans="10:13">
      <c r="J111" s="81"/>
      <c r="K111" s="81"/>
      <c r="L111" s="81"/>
      <c r="M111" s="81"/>
    </row>
    <row r="112" spans="10:13">
      <c r="J112" s="81"/>
      <c r="K112" s="81"/>
      <c r="L112" s="81"/>
      <c r="M112" s="81"/>
    </row>
    <row r="113" spans="10:13">
      <c r="J113" s="81"/>
      <c r="K113" s="81"/>
      <c r="L113" s="81"/>
      <c r="M113" s="81"/>
    </row>
    <row r="114" spans="10:13">
      <c r="J114" s="81"/>
      <c r="K114" s="81"/>
      <c r="L114" s="81"/>
      <c r="M114" s="81"/>
    </row>
    <row r="115" spans="10:13">
      <c r="J115" s="81"/>
      <c r="K115" s="81"/>
      <c r="L115" s="81"/>
      <c r="M115" s="81"/>
    </row>
    <row r="116" spans="10:13">
      <c r="J116" s="81"/>
      <c r="K116" s="81"/>
      <c r="L116" s="81"/>
      <c r="M116" s="81"/>
    </row>
    <row r="117" spans="10:13">
      <c r="J117" s="81"/>
      <c r="K117" s="81"/>
      <c r="L117" s="81"/>
      <c r="M117" s="81"/>
    </row>
    <row r="118" spans="10:13">
      <c r="J118" s="81"/>
      <c r="K118" s="81"/>
      <c r="L118" s="81"/>
      <c r="M118" s="81"/>
    </row>
    <row r="119" spans="10:13">
      <c r="J119" s="81"/>
      <c r="K119" s="81"/>
      <c r="L119" s="81"/>
      <c r="M119" s="81"/>
    </row>
    <row r="120" spans="10:13">
      <c r="J120" s="81"/>
      <c r="K120" s="81"/>
      <c r="L120" s="81"/>
      <c r="M120" s="81"/>
    </row>
    <row r="121" spans="10:13">
      <c r="J121" s="81"/>
      <c r="K121" s="81"/>
      <c r="L121" s="81"/>
      <c r="M121" s="81"/>
    </row>
    <row r="122" spans="10:13">
      <c r="J122" s="81"/>
      <c r="K122" s="81"/>
      <c r="L122" s="81"/>
      <c r="M122" s="81"/>
    </row>
    <row r="123" spans="10:13">
      <c r="J123" s="81"/>
      <c r="K123" s="81"/>
      <c r="L123" s="81"/>
      <c r="M123" s="81"/>
    </row>
    <row r="124" spans="10:13">
      <c r="J124" s="81"/>
      <c r="K124" s="81"/>
      <c r="L124" s="81"/>
      <c r="M124" s="81"/>
    </row>
    <row r="125" spans="10:13">
      <c r="J125" s="81"/>
      <c r="K125" s="81"/>
      <c r="L125" s="81"/>
      <c r="M125" s="81"/>
    </row>
    <row r="126" spans="10:13">
      <c r="J126" s="81"/>
      <c r="K126" s="81"/>
      <c r="L126" s="81"/>
      <c r="M126" s="81"/>
    </row>
    <row r="127" spans="10:13">
      <c r="J127" s="81"/>
      <c r="K127" s="81"/>
      <c r="L127" s="81"/>
      <c r="M127" s="81"/>
    </row>
    <row r="128" spans="10:13">
      <c r="J128" s="81"/>
      <c r="K128" s="81"/>
      <c r="L128" s="81"/>
      <c r="M128" s="81"/>
    </row>
    <row r="129" spans="10:13">
      <c r="J129" s="81"/>
      <c r="K129" s="81"/>
      <c r="L129" s="81"/>
      <c r="M129" s="81"/>
    </row>
    <row r="130" spans="10:13">
      <c r="J130" s="81"/>
      <c r="K130" s="81"/>
      <c r="L130" s="81"/>
      <c r="M130" s="81"/>
    </row>
    <row r="131" spans="10:13">
      <c r="J131" s="81"/>
      <c r="K131" s="81"/>
      <c r="L131" s="81"/>
      <c r="M131" s="81"/>
    </row>
    <row r="132" spans="10:13">
      <c r="J132" s="81"/>
      <c r="K132" s="81"/>
      <c r="L132" s="81"/>
      <c r="M132" s="81"/>
    </row>
    <row r="133" spans="10:13">
      <c r="J133" s="81"/>
      <c r="K133" s="81"/>
      <c r="L133" s="81"/>
      <c r="M133" s="81"/>
    </row>
    <row r="134" spans="10:13">
      <c r="J134" s="81"/>
      <c r="K134" s="81"/>
      <c r="L134" s="81"/>
      <c r="M134" s="81"/>
    </row>
    <row r="135" spans="10:13">
      <c r="J135" s="81"/>
      <c r="K135" s="81"/>
      <c r="L135" s="81"/>
      <c r="M135" s="81"/>
    </row>
    <row r="136" spans="10:13">
      <c r="J136" s="81"/>
      <c r="K136" s="81"/>
      <c r="L136" s="81"/>
      <c r="M136" s="81"/>
    </row>
    <row r="137" spans="10:13">
      <c r="J137" s="81"/>
      <c r="K137" s="81"/>
      <c r="L137" s="81"/>
      <c r="M137" s="81"/>
    </row>
    <row r="138" spans="10:13">
      <c r="J138" s="81"/>
      <c r="K138" s="81"/>
      <c r="L138" s="81"/>
      <c r="M138" s="81"/>
    </row>
    <row r="139" spans="10:13">
      <c r="J139" s="81"/>
      <c r="K139" s="81"/>
      <c r="L139" s="81"/>
      <c r="M139" s="81"/>
    </row>
    <row r="140" spans="10:13">
      <c r="J140" s="81"/>
      <c r="K140" s="81"/>
      <c r="L140" s="81"/>
      <c r="M140" s="81"/>
    </row>
    <row r="141" spans="10:13">
      <c r="J141" s="81"/>
      <c r="K141" s="81"/>
      <c r="L141" s="81"/>
      <c r="M141" s="81"/>
    </row>
    <row r="142" spans="10:13">
      <c r="J142" s="81"/>
      <c r="K142" s="81"/>
      <c r="L142" s="81"/>
      <c r="M142" s="81"/>
    </row>
    <row r="143" spans="10:13">
      <c r="J143" s="81"/>
      <c r="K143" s="81"/>
      <c r="L143" s="81"/>
      <c r="M143" s="81"/>
    </row>
    <row r="144" spans="10:13">
      <c r="J144" s="81"/>
      <c r="K144" s="81"/>
      <c r="L144" s="81"/>
      <c r="M144" s="81"/>
    </row>
    <row r="145" spans="10:13">
      <c r="J145" s="81"/>
      <c r="K145" s="81"/>
      <c r="L145" s="81"/>
      <c r="M145" s="81"/>
    </row>
    <row r="146" spans="10:13">
      <c r="J146" s="81"/>
      <c r="K146" s="81"/>
      <c r="L146" s="81"/>
      <c r="M146" s="81"/>
    </row>
    <row r="147" spans="10:13">
      <c r="J147" s="81"/>
      <c r="K147" s="81"/>
      <c r="L147" s="81"/>
      <c r="M147" s="81"/>
    </row>
    <row r="148" spans="10:13">
      <c r="J148" s="81"/>
      <c r="K148" s="81"/>
      <c r="L148" s="81"/>
      <c r="M148" s="81"/>
    </row>
    <row r="149" spans="10:13">
      <c r="J149" s="81"/>
      <c r="K149" s="81"/>
      <c r="L149" s="81"/>
      <c r="M149" s="81"/>
    </row>
    <row r="150" spans="10:13">
      <c r="J150" s="81"/>
      <c r="K150" s="81"/>
      <c r="L150" s="81"/>
      <c r="M150" s="81"/>
    </row>
    <row r="151" spans="10:13">
      <c r="J151" s="81"/>
      <c r="K151" s="81"/>
      <c r="L151" s="81"/>
      <c r="M151" s="81"/>
    </row>
    <row r="152" spans="10:13">
      <c r="J152" s="81"/>
      <c r="K152" s="81"/>
      <c r="L152" s="81"/>
      <c r="M152" s="81"/>
    </row>
    <row r="153" spans="10:13">
      <c r="J153" s="81"/>
      <c r="K153" s="81"/>
      <c r="L153" s="81"/>
      <c r="M153" s="81"/>
    </row>
    <row r="154" spans="10:13">
      <c r="J154" s="81"/>
      <c r="K154" s="81"/>
      <c r="L154" s="81"/>
      <c r="M154" s="81"/>
    </row>
    <row r="155" spans="10:13">
      <c r="J155" s="81"/>
      <c r="K155" s="81"/>
      <c r="L155" s="81"/>
      <c r="M155" s="81"/>
    </row>
    <row r="156" spans="10:13">
      <c r="J156" s="81"/>
      <c r="K156" s="81"/>
      <c r="L156" s="81"/>
      <c r="M156" s="81"/>
    </row>
    <row r="157" spans="10:13">
      <c r="J157" s="81"/>
      <c r="K157" s="81"/>
      <c r="L157" s="81"/>
      <c r="M157" s="81"/>
    </row>
    <row r="158" spans="10:13">
      <c r="J158" s="81"/>
      <c r="K158" s="81"/>
      <c r="L158" s="81"/>
      <c r="M158" s="81"/>
    </row>
    <row r="159" spans="10:13">
      <c r="J159" s="81"/>
      <c r="K159" s="81"/>
      <c r="L159" s="81"/>
      <c r="M159" s="81"/>
    </row>
    <row r="160" spans="10:13">
      <c r="J160" s="81"/>
      <c r="K160" s="81"/>
      <c r="L160" s="81"/>
      <c r="M160" s="81"/>
    </row>
    <row r="161" spans="10:13">
      <c r="J161" s="81"/>
      <c r="K161" s="81"/>
      <c r="L161" s="81"/>
      <c r="M161" s="81"/>
    </row>
    <row r="162" spans="10:13">
      <c r="J162" s="81"/>
      <c r="K162" s="81"/>
      <c r="L162" s="81"/>
      <c r="M162" s="81"/>
    </row>
    <row r="163" spans="10:13">
      <c r="J163" s="81"/>
      <c r="K163" s="81"/>
      <c r="L163" s="81"/>
      <c r="M163" s="81"/>
    </row>
    <row r="164" spans="10:13">
      <c r="J164" s="81"/>
      <c r="K164" s="81"/>
      <c r="L164" s="81"/>
      <c r="M164" s="81"/>
    </row>
    <row r="165" spans="10:13">
      <c r="J165" s="81"/>
      <c r="K165" s="81"/>
      <c r="L165" s="81"/>
      <c r="M165" s="81"/>
    </row>
    <row r="166" spans="10:13">
      <c r="J166" s="81"/>
      <c r="K166" s="81"/>
      <c r="L166" s="81"/>
      <c r="M166" s="81"/>
    </row>
    <row r="167" spans="10:13">
      <c r="J167" s="81"/>
      <c r="K167" s="81"/>
      <c r="L167" s="81"/>
      <c r="M167" s="81"/>
    </row>
    <row r="168" spans="10:13">
      <c r="J168" s="81"/>
      <c r="K168" s="81"/>
      <c r="L168" s="81"/>
      <c r="M168" s="81"/>
    </row>
    <row r="169" spans="10:13">
      <c r="J169" s="81"/>
      <c r="K169" s="81"/>
      <c r="L169" s="81"/>
      <c r="M169" s="81"/>
    </row>
    <row r="170" spans="10:13">
      <c r="J170" s="81"/>
      <c r="K170" s="81"/>
      <c r="L170" s="81"/>
      <c r="M170" s="81"/>
    </row>
    <row r="171" spans="10:13">
      <c r="J171" s="81"/>
      <c r="K171" s="81"/>
      <c r="L171" s="81"/>
      <c r="M171" s="81"/>
    </row>
    <row r="172" spans="10:13">
      <c r="J172" s="81"/>
      <c r="K172" s="81"/>
      <c r="L172" s="81"/>
      <c r="M172" s="81"/>
    </row>
    <row r="173" spans="10:13">
      <c r="J173" s="81"/>
      <c r="K173" s="81"/>
      <c r="L173" s="81"/>
      <c r="M173" s="81"/>
    </row>
    <row r="174" spans="10:13">
      <c r="J174" s="81"/>
      <c r="K174" s="81"/>
      <c r="L174" s="81"/>
      <c r="M174" s="81"/>
    </row>
    <row r="175" spans="10:13">
      <c r="J175" s="81"/>
      <c r="K175" s="81"/>
      <c r="L175" s="81"/>
      <c r="M175" s="81"/>
    </row>
    <row r="176" spans="10:13">
      <c r="J176" s="81"/>
      <c r="K176" s="81"/>
      <c r="L176" s="81"/>
      <c r="M176" s="81"/>
    </row>
    <row r="177" spans="10:13">
      <c r="J177" s="81"/>
      <c r="K177" s="81"/>
      <c r="L177" s="81"/>
      <c r="M177" s="81"/>
    </row>
    <row r="178" spans="10:13">
      <c r="J178" s="81"/>
      <c r="K178" s="81"/>
      <c r="L178" s="81"/>
      <c r="M178" s="81"/>
    </row>
    <row r="179" spans="10:13">
      <c r="J179" s="81"/>
      <c r="K179" s="81"/>
      <c r="L179" s="81"/>
      <c r="M179" s="81"/>
    </row>
    <row r="180" spans="10:13">
      <c r="J180" s="81"/>
      <c r="K180" s="81"/>
      <c r="L180" s="81"/>
      <c r="M180" s="81"/>
    </row>
    <row r="181" spans="10:13">
      <c r="J181" s="81"/>
      <c r="K181" s="81"/>
      <c r="L181" s="81"/>
      <c r="M181" s="81"/>
    </row>
    <row r="182" spans="10:13">
      <c r="J182" s="81"/>
      <c r="K182" s="81"/>
      <c r="L182" s="81"/>
      <c r="M182" s="81"/>
    </row>
    <row r="183" spans="10:13">
      <c r="J183" s="81"/>
      <c r="K183" s="81"/>
      <c r="L183" s="81"/>
      <c r="M183" s="81"/>
    </row>
    <row r="184" spans="10:13">
      <c r="J184" s="81"/>
      <c r="K184" s="81"/>
      <c r="L184" s="81"/>
      <c r="M184" s="81"/>
    </row>
    <row r="185" spans="10:13">
      <c r="J185" s="81"/>
      <c r="K185" s="81"/>
      <c r="L185" s="81"/>
      <c r="M185" s="81"/>
    </row>
    <row r="186" spans="10:13">
      <c r="J186" s="81"/>
      <c r="K186" s="81"/>
      <c r="L186" s="81"/>
      <c r="M186" s="81"/>
    </row>
    <row r="187" spans="10:13">
      <c r="J187" s="81"/>
      <c r="K187" s="81"/>
      <c r="L187" s="81"/>
      <c r="M187" s="81"/>
    </row>
    <row r="188" spans="10:13">
      <c r="J188" s="81"/>
      <c r="K188" s="81"/>
      <c r="L188" s="81"/>
      <c r="M188" s="81"/>
    </row>
    <row r="189" spans="10:13">
      <c r="J189" s="81"/>
      <c r="K189" s="81"/>
      <c r="L189" s="81"/>
      <c r="M189" s="81"/>
    </row>
    <row r="190" spans="10:13">
      <c r="J190" s="81"/>
      <c r="K190" s="81"/>
      <c r="L190" s="81"/>
      <c r="M190" s="81"/>
    </row>
    <row r="191" spans="10:13">
      <c r="J191" s="81"/>
      <c r="K191" s="81"/>
      <c r="L191" s="81"/>
      <c r="M191" s="81"/>
    </row>
    <row r="192" spans="10:13">
      <c r="J192" s="81"/>
      <c r="K192" s="81"/>
      <c r="L192" s="81"/>
      <c r="M192" s="81"/>
    </row>
    <row r="193" spans="10:13">
      <c r="J193" s="81"/>
      <c r="K193" s="81"/>
      <c r="L193" s="81"/>
      <c r="M193" s="81"/>
    </row>
    <row r="194" spans="10:13">
      <c r="J194" s="81"/>
      <c r="K194" s="81"/>
      <c r="L194" s="81"/>
      <c r="M194" s="81"/>
    </row>
    <row r="195" spans="10:13">
      <c r="J195" s="81"/>
      <c r="K195" s="81"/>
      <c r="L195" s="81"/>
      <c r="M195" s="81"/>
    </row>
    <row r="196" spans="10:13">
      <c r="J196" s="81"/>
      <c r="K196" s="81"/>
      <c r="L196" s="81"/>
      <c r="M196" s="81"/>
    </row>
    <row r="197" spans="10:13">
      <c r="J197" s="81"/>
      <c r="K197" s="81"/>
      <c r="L197" s="81"/>
      <c r="M197" s="81"/>
    </row>
    <row r="198" spans="10:13">
      <c r="J198" s="81"/>
      <c r="K198" s="81"/>
      <c r="L198" s="81"/>
      <c r="M198" s="81"/>
    </row>
    <row r="199" spans="10:13">
      <c r="J199" s="81"/>
      <c r="K199" s="81"/>
      <c r="L199" s="81"/>
      <c r="M199" s="81"/>
    </row>
    <row r="200" spans="10:13">
      <c r="J200" s="81"/>
      <c r="K200" s="81"/>
      <c r="L200" s="81"/>
      <c r="M200" s="81"/>
    </row>
    <row r="201" spans="10:13">
      <c r="J201" s="81"/>
      <c r="K201" s="81"/>
      <c r="L201" s="81"/>
      <c r="M201" s="81"/>
    </row>
    <row r="202" spans="10:13">
      <c r="J202" s="81"/>
      <c r="K202" s="81"/>
      <c r="L202" s="81"/>
      <c r="M202" s="81"/>
    </row>
    <row r="203" spans="10:13">
      <c r="J203" s="81"/>
      <c r="K203" s="81"/>
      <c r="L203" s="81"/>
      <c r="M203" s="81"/>
    </row>
    <row r="204" spans="10:13">
      <c r="J204" s="81"/>
      <c r="K204" s="81"/>
      <c r="L204" s="81"/>
      <c r="M204" s="81"/>
    </row>
    <row r="205" spans="10:13">
      <c r="J205" s="81"/>
      <c r="K205" s="81"/>
      <c r="L205" s="81"/>
      <c r="M205" s="81"/>
    </row>
    <row r="206" spans="10:13">
      <c r="J206" s="81"/>
      <c r="K206" s="81"/>
      <c r="L206" s="81"/>
      <c r="M206" s="81"/>
    </row>
    <row r="207" spans="10:13">
      <c r="J207" s="81"/>
      <c r="K207" s="81"/>
      <c r="L207" s="81"/>
      <c r="M207" s="81"/>
    </row>
    <row r="208" spans="10:13">
      <c r="J208" s="81"/>
      <c r="K208" s="81"/>
      <c r="L208" s="81"/>
      <c r="M208" s="81"/>
    </row>
    <row r="209" spans="10:13">
      <c r="J209" s="81"/>
      <c r="K209" s="81"/>
      <c r="L209" s="81"/>
      <c r="M209" s="81"/>
    </row>
    <row r="210" spans="10:13">
      <c r="J210" s="81"/>
      <c r="K210" s="81"/>
      <c r="L210" s="81"/>
      <c r="M210" s="81"/>
    </row>
    <row r="211" spans="10:13">
      <c r="J211" s="81"/>
      <c r="K211" s="81"/>
      <c r="L211" s="81"/>
      <c r="M211" s="81"/>
    </row>
    <row r="212" spans="10:13">
      <c r="J212" s="81"/>
      <c r="K212" s="81"/>
      <c r="L212" s="81"/>
      <c r="M212" s="81"/>
    </row>
    <row r="213" spans="10:13">
      <c r="J213" s="81"/>
      <c r="K213" s="81"/>
      <c r="L213" s="81"/>
      <c r="M213" s="81"/>
    </row>
    <row r="214" spans="10:13">
      <c r="J214" s="81"/>
      <c r="K214" s="81"/>
      <c r="L214" s="81"/>
      <c r="M214" s="81"/>
    </row>
    <row r="215" spans="10:13">
      <c r="J215" s="81"/>
      <c r="K215" s="81"/>
      <c r="L215" s="81"/>
      <c r="M215" s="81"/>
    </row>
    <row r="216" spans="10:13">
      <c r="J216" s="81"/>
      <c r="K216" s="81"/>
      <c r="L216" s="81"/>
      <c r="M216" s="81"/>
    </row>
    <row r="217" spans="10:13">
      <c r="J217" s="81"/>
      <c r="K217" s="81"/>
      <c r="L217" s="81"/>
      <c r="M217" s="81"/>
    </row>
    <row r="218" spans="10:13">
      <c r="J218" s="81"/>
      <c r="K218" s="81"/>
      <c r="L218" s="81"/>
      <c r="M218" s="81"/>
    </row>
    <row r="219" spans="10:13">
      <c r="J219" s="81"/>
      <c r="K219" s="81"/>
      <c r="L219" s="81"/>
      <c r="M219" s="81"/>
    </row>
    <row r="220" spans="10:13">
      <c r="J220" s="81"/>
      <c r="K220" s="81"/>
      <c r="L220" s="81"/>
      <c r="M220" s="81"/>
    </row>
    <row r="221" spans="10:13">
      <c r="J221" s="81"/>
      <c r="K221" s="81"/>
      <c r="L221" s="81"/>
      <c r="M221" s="81"/>
    </row>
    <row r="222" spans="10:13">
      <c r="J222" s="81"/>
      <c r="K222" s="81"/>
      <c r="L222" s="81"/>
      <c r="M222" s="81"/>
    </row>
    <row r="223" spans="10:13">
      <c r="J223" s="81"/>
      <c r="K223" s="81"/>
      <c r="L223" s="81"/>
      <c r="M223" s="81"/>
    </row>
    <row r="224" spans="10:13">
      <c r="J224" s="81"/>
      <c r="K224" s="81"/>
      <c r="L224" s="81"/>
      <c r="M224" s="81"/>
    </row>
    <row r="225" spans="10:13">
      <c r="J225" s="81"/>
      <c r="K225" s="81"/>
      <c r="L225" s="81"/>
      <c r="M225" s="81"/>
    </row>
    <row r="226" spans="10:13">
      <c r="J226" s="81"/>
      <c r="K226" s="81"/>
      <c r="L226" s="81"/>
      <c r="M226" s="81"/>
    </row>
    <row r="227" spans="10:13">
      <c r="J227" s="81"/>
      <c r="K227" s="81"/>
      <c r="L227" s="81"/>
      <c r="M227" s="81"/>
    </row>
    <row r="228" spans="10:13">
      <c r="J228" s="81"/>
      <c r="K228" s="81"/>
      <c r="L228" s="81"/>
      <c r="M228" s="81"/>
    </row>
    <row r="229" spans="10:13">
      <c r="J229" s="81"/>
      <c r="K229" s="81"/>
      <c r="L229" s="81"/>
      <c r="M229" s="81"/>
    </row>
    <row r="230" spans="10:13">
      <c r="J230" s="81"/>
      <c r="K230" s="81"/>
      <c r="L230" s="81"/>
      <c r="M230" s="81"/>
    </row>
    <row r="231" spans="10:13">
      <c r="J231" s="81"/>
      <c r="K231" s="81"/>
      <c r="L231" s="81"/>
      <c r="M231" s="81"/>
    </row>
    <row r="232" spans="10:13">
      <c r="J232" s="81"/>
      <c r="K232" s="81"/>
      <c r="L232" s="81"/>
      <c r="M232" s="81"/>
    </row>
    <row r="233" spans="10:13">
      <c r="J233" s="81"/>
      <c r="K233" s="81"/>
      <c r="L233" s="81"/>
      <c r="M233" s="81"/>
    </row>
    <row r="234" spans="10:13">
      <c r="J234" s="81"/>
      <c r="K234" s="81"/>
      <c r="L234" s="81"/>
      <c r="M234" s="81"/>
    </row>
    <row r="235" spans="10:13">
      <c r="J235" s="81"/>
      <c r="K235" s="81"/>
      <c r="L235" s="81"/>
      <c r="M235" s="81"/>
    </row>
    <row r="236" spans="10:13">
      <c r="J236" s="81"/>
      <c r="K236" s="81"/>
      <c r="L236" s="81"/>
      <c r="M236" s="81"/>
    </row>
    <row r="237" spans="10:13">
      <c r="J237" s="81"/>
      <c r="K237" s="81"/>
      <c r="L237" s="81"/>
      <c r="M237" s="81"/>
    </row>
    <row r="238" spans="10:13">
      <c r="J238" s="81"/>
      <c r="K238" s="81"/>
      <c r="L238" s="81"/>
      <c r="M238" s="81"/>
    </row>
    <row r="239" spans="10:13">
      <c r="J239" s="81"/>
      <c r="K239" s="81"/>
      <c r="L239" s="81"/>
      <c r="M239" s="81"/>
    </row>
    <row r="240" spans="10:13">
      <c r="J240" s="81"/>
      <c r="K240" s="81"/>
      <c r="L240" s="81"/>
      <c r="M240" s="81"/>
    </row>
    <row r="241" spans="10:13">
      <c r="J241" s="81"/>
      <c r="K241" s="81"/>
      <c r="L241" s="81"/>
      <c r="M241" s="81"/>
    </row>
    <row r="242" spans="10:13">
      <c r="J242" s="81"/>
      <c r="K242" s="81"/>
      <c r="L242" s="81"/>
      <c r="M242" s="81"/>
    </row>
    <row r="243" spans="10:13">
      <c r="J243" s="81"/>
      <c r="K243" s="81"/>
      <c r="L243" s="81"/>
      <c r="M243" s="81"/>
    </row>
    <row r="244" spans="10:13">
      <c r="J244" s="81"/>
      <c r="K244" s="81"/>
      <c r="L244" s="81"/>
      <c r="M244" s="81"/>
    </row>
    <row r="245" spans="10:13">
      <c r="J245" s="81"/>
      <c r="K245" s="81"/>
      <c r="L245" s="81"/>
      <c r="M245" s="81"/>
    </row>
    <row r="246" spans="10:13">
      <c r="J246" s="81"/>
      <c r="K246" s="81"/>
      <c r="L246" s="81"/>
      <c r="M246" s="81"/>
    </row>
    <row r="247" spans="10:13">
      <c r="J247" s="81"/>
      <c r="K247" s="81"/>
      <c r="L247" s="81"/>
      <c r="M247" s="81"/>
    </row>
    <row r="248" spans="10:13">
      <c r="J248" s="81"/>
      <c r="K248" s="81"/>
      <c r="L248" s="81"/>
      <c r="M248" s="81"/>
    </row>
    <row r="249" spans="10:13">
      <c r="J249" s="81"/>
      <c r="K249" s="81"/>
      <c r="L249" s="81"/>
      <c r="M249" s="81"/>
    </row>
    <row r="250" spans="10:13">
      <c r="J250" s="81"/>
      <c r="K250" s="81"/>
      <c r="L250" s="81"/>
      <c r="M250" s="81"/>
    </row>
    <row r="251" spans="10:13">
      <c r="J251" s="81"/>
      <c r="K251" s="81"/>
      <c r="L251" s="81"/>
      <c r="M251" s="81"/>
    </row>
    <row r="252" spans="10:13">
      <c r="J252" s="81"/>
      <c r="K252" s="81"/>
      <c r="L252" s="81"/>
      <c r="M252" s="81"/>
    </row>
    <row r="253" spans="10:13">
      <c r="J253" s="81"/>
      <c r="K253" s="81"/>
      <c r="L253" s="81"/>
      <c r="M253" s="81"/>
    </row>
    <row r="254" spans="10:13">
      <c r="J254" s="81"/>
      <c r="K254" s="81"/>
      <c r="L254" s="81"/>
      <c r="M254" s="81"/>
    </row>
    <row r="255" spans="10:13">
      <c r="J255" s="81"/>
      <c r="K255" s="81"/>
      <c r="L255" s="81"/>
      <c r="M255" s="81"/>
    </row>
    <row r="256" spans="10:13">
      <c r="J256" s="81"/>
      <c r="K256" s="81"/>
      <c r="L256" s="81"/>
      <c r="M256" s="81"/>
    </row>
    <row r="257" spans="10:13">
      <c r="J257" s="81"/>
      <c r="K257" s="81"/>
      <c r="L257" s="81"/>
      <c r="M257" s="81"/>
    </row>
    <row r="258" spans="10:13">
      <c r="J258" s="81"/>
      <c r="K258" s="81"/>
      <c r="L258" s="81"/>
      <c r="M258" s="81"/>
    </row>
    <row r="259" spans="10:13">
      <c r="J259" s="81"/>
      <c r="K259" s="81"/>
      <c r="L259" s="81"/>
      <c r="M259" s="81"/>
    </row>
    <row r="260" spans="10:13">
      <c r="J260" s="81"/>
      <c r="K260" s="81"/>
      <c r="L260" s="81"/>
      <c r="M260" s="81"/>
    </row>
    <row r="261" spans="10:13">
      <c r="J261" s="81"/>
      <c r="K261" s="81"/>
      <c r="L261" s="81"/>
      <c r="M261" s="81"/>
    </row>
    <row r="262" spans="10:13">
      <c r="J262" s="81"/>
      <c r="K262" s="81"/>
      <c r="L262" s="81"/>
      <c r="M262" s="81"/>
    </row>
    <row r="263" spans="10:13">
      <c r="J263" s="81"/>
      <c r="K263" s="81"/>
      <c r="L263" s="81"/>
      <c r="M263" s="81"/>
    </row>
    <row r="264" spans="10:13">
      <c r="J264" s="81"/>
      <c r="K264" s="81"/>
      <c r="L264" s="81"/>
      <c r="M264" s="81"/>
    </row>
    <row r="265" spans="10:13">
      <c r="J265" s="81"/>
      <c r="K265" s="81"/>
      <c r="L265" s="81"/>
      <c r="M265" s="81"/>
    </row>
    <row r="266" spans="10:13">
      <c r="J266" s="81"/>
      <c r="K266" s="81"/>
      <c r="L266" s="81"/>
      <c r="M266" s="81"/>
    </row>
    <row r="267" spans="10:13">
      <c r="J267" s="81"/>
      <c r="K267" s="81"/>
      <c r="L267" s="81"/>
      <c r="M267" s="81"/>
    </row>
    <row r="268" spans="10:13">
      <c r="J268" s="81"/>
      <c r="K268" s="81"/>
      <c r="L268" s="81"/>
      <c r="M268" s="81"/>
    </row>
    <row r="269" spans="10:13">
      <c r="J269" s="81"/>
      <c r="K269" s="81"/>
      <c r="L269" s="81"/>
      <c r="M269" s="81"/>
    </row>
    <row r="270" spans="10:13">
      <c r="J270" s="81"/>
      <c r="K270" s="81"/>
      <c r="L270" s="81"/>
      <c r="M270" s="81"/>
    </row>
    <row r="271" spans="10:13">
      <c r="J271" s="81"/>
      <c r="K271" s="81"/>
      <c r="L271" s="81"/>
      <c r="M271" s="81"/>
    </row>
    <row r="272" spans="10:13">
      <c r="J272" s="81"/>
      <c r="K272" s="81"/>
      <c r="L272" s="81"/>
      <c r="M272" s="81"/>
    </row>
    <row r="273" spans="10:13">
      <c r="J273" s="81"/>
      <c r="K273" s="81"/>
      <c r="L273" s="81"/>
      <c r="M273" s="81"/>
    </row>
    <row r="274" spans="10:13">
      <c r="J274" s="81"/>
      <c r="K274" s="81"/>
      <c r="L274" s="81"/>
      <c r="M274" s="81"/>
    </row>
    <row r="275" spans="10:13">
      <c r="J275" s="81"/>
      <c r="K275" s="81"/>
      <c r="L275" s="81"/>
      <c r="M275" s="81"/>
    </row>
    <row r="276" spans="10:13">
      <c r="J276" s="81"/>
      <c r="K276" s="81"/>
      <c r="L276" s="81"/>
      <c r="M276" s="81"/>
    </row>
    <row r="277" spans="10:13">
      <c r="J277" s="81"/>
      <c r="K277" s="81"/>
      <c r="L277" s="81"/>
      <c r="M277" s="81"/>
    </row>
    <row r="278" spans="10:13">
      <c r="J278" s="81"/>
      <c r="K278" s="81"/>
      <c r="L278" s="81"/>
      <c r="M278" s="81"/>
    </row>
    <row r="279" spans="10:13">
      <c r="J279" s="81"/>
      <c r="K279" s="81"/>
      <c r="L279" s="81"/>
      <c r="M279" s="81"/>
    </row>
    <row r="280" spans="10:13">
      <c r="J280" s="81"/>
      <c r="K280" s="81"/>
      <c r="L280" s="81"/>
      <c r="M280" s="81"/>
    </row>
  </sheetData>
  <mergeCells count="1">
    <mergeCell ref="A1:B1"/>
  </mergeCells>
  <conditionalFormatting sqref="C4:C28">
    <cfRule type="expression" dxfId="48" priority="15">
      <formula>$C4="F"</formula>
    </cfRule>
    <cfRule type="expression" dxfId="47" priority="44">
      <formula>$C4="R"</formula>
    </cfRule>
  </conditionalFormatting>
  <conditionalFormatting sqref="E4:E28">
    <cfRule type="expression" dxfId="46" priority="1">
      <formula>$E4="Dongle"</formula>
    </cfRule>
    <cfRule type="expression" dxfId="45" priority="2">
      <formula>$E4="Smartphone"</formula>
    </cfRule>
    <cfRule type="expression" dxfId="44" priority="3">
      <formula>$E4="Computer"</formula>
    </cfRule>
  </conditionalFormatting>
  <dataValidations count="3">
    <dataValidation type="list" allowBlank="1" showInputMessage="1" showErrorMessage="1" sqref="C4:C28" xr:uid="{30B7E36F-FE30-47E9-9709-CBAC34C51E4C}">
      <formula1>"R, F"</formula1>
    </dataValidation>
    <dataValidation allowBlank="1" showInputMessage="1" showErrorMessage="1" sqref="F6:F28" xr:uid="{416C244D-2BFB-4335-83A1-DF7DCE4678B5}"/>
    <dataValidation type="list" allowBlank="1" showInputMessage="1" showErrorMessage="1" sqref="E4:E28" xr:uid="{DCB5C169-7137-41B9-B7D6-A4D5C08C8B0A}">
      <formula1>"Computer, Smartphone, Dongle"</formula1>
    </dataValidation>
  </dataValidation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9F7D-5DC0-4CED-AD20-421F94D9A79B}">
  <sheetPr>
    <tabColor rgb="FFA6D4A6"/>
  </sheetPr>
  <dimension ref="A1:P20"/>
  <sheetViews>
    <sheetView workbookViewId="0">
      <selection activeCell="C15" sqref="C15:C18"/>
    </sheetView>
  </sheetViews>
  <sheetFormatPr defaultRowHeight="15"/>
  <cols>
    <col min="1" max="1" width="9" style="43" customWidth="1"/>
    <col min="2" max="2" width="20.140625" style="43" bestFit="1" customWidth="1"/>
    <col min="3" max="3" width="4.42578125" style="43" bestFit="1" customWidth="1"/>
    <col min="4" max="4" width="9.5703125" style="43" bestFit="1" customWidth="1"/>
    <col min="5" max="5" width="14.28515625" style="43" customWidth="1"/>
    <col min="6" max="6" width="17.5703125" style="43" bestFit="1" customWidth="1"/>
    <col min="7" max="7" width="14.7109375" style="43" customWidth="1"/>
    <col min="8" max="8" width="33" style="43" bestFit="1" customWidth="1"/>
    <col min="9" max="9" width="23.28515625" style="43" bestFit="1" customWidth="1"/>
    <col min="10" max="10" width="26.28515625" style="50" bestFit="1" customWidth="1"/>
    <col min="11" max="11" width="19.140625" style="43" bestFit="1" customWidth="1"/>
    <col min="12" max="12" width="19.140625" style="56" hidden="1" customWidth="1"/>
    <col min="13" max="13" width="37.5703125" style="43" customWidth="1"/>
    <col min="14" max="15" width="9.140625" style="43"/>
    <col min="16" max="16" width="29.28515625" style="56" customWidth="1"/>
    <col min="17" max="16384" width="9.140625" style="43"/>
  </cols>
  <sheetData>
    <row r="1" spans="1:16" ht="37.5" customHeight="1">
      <c r="A1" s="97" t="s">
        <v>503</v>
      </c>
      <c r="B1" s="99"/>
      <c r="C1" s="82"/>
      <c r="D1" s="19"/>
      <c r="E1" s="19"/>
      <c r="F1" s="19"/>
      <c r="G1" s="19"/>
      <c r="H1" s="19"/>
      <c r="I1" s="19"/>
      <c r="J1" s="82"/>
      <c r="K1" s="19"/>
      <c r="L1" s="35"/>
      <c r="M1" s="19"/>
    </row>
    <row r="3" spans="1:16" ht="25.5" customHeight="1">
      <c r="A3" s="51" t="s">
        <v>51</v>
      </c>
      <c r="B3" s="51" t="s">
        <v>53</v>
      </c>
      <c r="C3" s="51" t="s">
        <v>367</v>
      </c>
      <c r="D3" s="51" t="s">
        <v>368</v>
      </c>
      <c r="E3" s="51" t="s">
        <v>373</v>
      </c>
      <c r="F3" s="48" t="s">
        <v>49</v>
      </c>
      <c r="G3" s="48" t="s">
        <v>52</v>
      </c>
      <c r="H3" s="48" t="s">
        <v>504</v>
      </c>
      <c r="I3" s="48" t="s">
        <v>505</v>
      </c>
      <c r="J3" s="52" t="s">
        <v>370</v>
      </c>
      <c r="K3" s="48" t="s">
        <v>506</v>
      </c>
      <c r="L3" s="55" t="s">
        <v>507</v>
      </c>
      <c r="M3" s="48" t="s">
        <v>76</v>
      </c>
    </row>
    <row r="4" spans="1:16" customFormat="1">
      <c r="A4" s="107">
        <v>29</v>
      </c>
      <c r="B4" s="85">
        <v>46220</v>
      </c>
      <c r="C4" s="13" t="s">
        <v>60</v>
      </c>
      <c r="D4" s="107">
        <v>116972</v>
      </c>
      <c r="E4" s="111" t="s">
        <v>379</v>
      </c>
      <c r="F4" s="111" t="s">
        <v>55</v>
      </c>
      <c r="G4" s="112" t="s">
        <v>58</v>
      </c>
      <c r="H4" s="113" t="s">
        <v>508</v>
      </c>
      <c r="I4" s="113" t="s">
        <v>460</v>
      </c>
      <c r="J4" s="108" t="s">
        <v>509</v>
      </c>
      <c r="K4" s="85">
        <v>46227</v>
      </c>
      <c r="L4" s="111">
        <v>30</v>
      </c>
      <c r="M4" s="111"/>
      <c r="P4" s="21"/>
    </row>
    <row r="5" spans="1:16" customFormat="1">
      <c r="A5" s="107">
        <v>29</v>
      </c>
      <c r="B5" s="85">
        <v>46220</v>
      </c>
      <c r="C5" s="14" t="s">
        <v>60</v>
      </c>
      <c r="D5" s="107">
        <v>116975</v>
      </c>
      <c r="E5" s="111" t="s">
        <v>384</v>
      </c>
      <c r="F5" s="111" t="s">
        <v>57</v>
      </c>
      <c r="G5" s="112" t="s">
        <v>58</v>
      </c>
      <c r="H5" s="113" t="s">
        <v>510</v>
      </c>
      <c r="I5" s="113" t="s">
        <v>382</v>
      </c>
      <c r="J5" s="108">
        <v>350811292604217</v>
      </c>
      <c r="K5" s="85">
        <v>46227</v>
      </c>
      <c r="L5" s="111">
        <v>30</v>
      </c>
      <c r="M5" s="111"/>
      <c r="P5" s="21"/>
    </row>
    <row r="6" spans="1:16" customFormat="1">
      <c r="A6" s="107">
        <v>29</v>
      </c>
      <c r="B6" s="85">
        <v>46221</v>
      </c>
      <c r="C6" s="46" t="s">
        <v>60</v>
      </c>
      <c r="D6" s="107">
        <v>116981</v>
      </c>
      <c r="E6" s="111" t="s">
        <v>400</v>
      </c>
      <c r="F6" s="111" t="s">
        <v>55</v>
      </c>
      <c r="G6" s="112" t="s">
        <v>58</v>
      </c>
      <c r="H6" s="113" t="s">
        <v>511</v>
      </c>
      <c r="I6" s="113" t="s">
        <v>512</v>
      </c>
      <c r="J6" s="108" t="s">
        <v>513</v>
      </c>
      <c r="K6" s="85">
        <v>46228</v>
      </c>
      <c r="L6" s="111">
        <v>30</v>
      </c>
      <c r="M6" s="111"/>
      <c r="P6" s="21"/>
    </row>
    <row r="7" spans="1:16" customFormat="1">
      <c r="A7" s="107">
        <v>29</v>
      </c>
      <c r="B7" s="85">
        <v>46221</v>
      </c>
      <c r="C7" s="14" t="s">
        <v>60</v>
      </c>
      <c r="D7" s="107">
        <v>116984</v>
      </c>
      <c r="E7" s="111" t="s">
        <v>481</v>
      </c>
      <c r="F7" s="111" t="s">
        <v>56</v>
      </c>
      <c r="G7" s="112" t="s">
        <v>58</v>
      </c>
      <c r="H7" s="113" t="s">
        <v>514</v>
      </c>
      <c r="I7" s="113" t="s">
        <v>479</v>
      </c>
      <c r="J7" s="108">
        <v>353982372543318</v>
      </c>
      <c r="K7" s="85">
        <v>46228</v>
      </c>
      <c r="L7" s="111">
        <v>30</v>
      </c>
      <c r="M7" s="111"/>
      <c r="P7" s="21"/>
    </row>
    <row r="8" spans="1:16" customFormat="1">
      <c r="A8" s="107">
        <v>29</v>
      </c>
      <c r="B8" s="85">
        <v>46223</v>
      </c>
      <c r="C8" s="14" t="s">
        <v>61</v>
      </c>
      <c r="D8" s="107">
        <v>116990</v>
      </c>
      <c r="E8" s="111" t="s">
        <v>476</v>
      </c>
      <c r="F8" s="111" t="s">
        <v>55</v>
      </c>
      <c r="G8" s="112" t="s">
        <v>58</v>
      </c>
      <c r="H8" s="113" t="s">
        <v>515</v>
      </c>
      <c r="I8" s="113" t="s">
        <v>419</v>
      </c>
      <c r="J8" s="108" t="s">
        <v>516</v>
      </c>
      <c r="K8" s="85">
        <v>46230</v>
      </c>
      <c r="L8" s="111">
        <v>31</v>
      </c>
      <c r="M8" s="111"/>
      <c r="P8" s="21"/>
    </row>
    <row r="9" spans="1:16">
      <c r="A9" s="107">
        <v>29</v>
      </c>
      <c r="B9" s="85">
        <v>46223</v>
      </c>
      <c r="C9" s="54" t="s">
        <v>60</v>
      </c>
      <c r="D9" s="107">
        <v>116994</v>
      </c>
      <c r="E9" s="111" t="s">
        <v>496</v>
      </c>
      <c r="F9" s="111" t="s">
        <v>57</v>
      </c>
      <c r="G9" s="112" t="s">
        <v>59</v>
      </c>
      <c r="H9" s="113" t="s">
        <v>517</v>
      </c>
      <c r="I9" s="113" t="s">
        <v>518</v>
      </c>
      <c r="J9" s="108">
        <v>351355310054672</v>
      </c>
      <c r="K9" s="85">
        <v>46230</v>
      </c>
      <c r="L9" s="111">
        <v>31</v>
      </c>
      <c r="M9" s="111"/>
    </row>
    <row r="10" spans="1:16">
      <c r="A10" s="107">
        <v>30</v>
      </c>
      <c r="B10" s="85">
        <v>46224</v>
      </c>
      <c r="C10" s="53" t="s">
        <v>60</v>
      </c>
      <c r="D10" s="107">
        <v>117002</v>
      </c>
      <c r="E10" s="111" t="s">
        <v>394</v>
      </c>
      <c r="F10" s="111" t="s">
        <v>24</v>
      </c>
      <c r="G10" s="112" t="s">
        <v>59</v>
      </c>
      <c r="H10" s="113" t="s">
        <v>519</v>
      </c>
      <c r="I10" s="113" t="s">
        <v>520</v>
      </c>
      <c r="J10" s="108">
        <v>8.9340130825500303E+18</v>
      </c>
      <c r="K10" s="85">
        <v>46231</v>
      </c>
      <c r="L10" s="111">
        <v>31</v>
      </c>
      <c r="M10" s="111"/>
    </row>
    <row r="11" spans="1:16" customFormat="1">
      <c r="A11" s="107">
        <v>30</v>
      </c>
      <c r="B11" s="85">
        <v>46225</v>
      </c>
      <c r="C11" s="14" t="s">
        <v>60</v>
      </c>
      <c r="D11" s="107">
        <v>117008</v>
      </c>
      <c r="E11" s="111" t="s">
        <v>404</v>
      </c>
      <c r="F11" s="111" t="s">
        <v>55</v>
      </c>
      <c r="G11" s="112" t="s">
        <v>59</v>
      </c>
      <c r="H11" s="113" t="s">
        <v>521</v>
      </c>
      <c r="I11" s="113" t="s">
        <v>425</v>
      </c>
      <c r="J11" s="108" t="s">
        <v>522</v>
      </c>
      <c r="K11" s="85"/>
      <c r="L11" s="111"/>
      <c r="M11" s="111" t="s">
        <v>523</v>
      </c>
      <c r="P11" s="21"/>
    </row>
    <row r="12" spans="1:16" customFormat="1">
      <c r="A12" s="107">
        <v>30</v>
      </c>
      <c r="B12" s="85">
        <v>46225</v>
      </c>
      <c r="C12" s="14" t="s">
        <v>60</v>
      </c>
      <c r="D12" s="107">
        <v>117011</v>
      </c>
      <c r="E12" s="111" t="s">
        <v>421</v>
      </c>
      <c r="F12" s="111" t="s">
        <v>57</v>
      </c>
      <c r="G12" s="112" t="s">
        <v>58</v>
      </c>
      <c r="H12" s="113" t="s">
        <v>524</v>
      </c>
      <c r="I12" s="113" t="s">
        <v>525</v>
      </c>
      <c r="J12" s="108">
        <v>358587760054731</v>
      </c>
      <c r="K12" s="85">
        <v>46232</v>
      </c>
      <c r="L12" s="111">
        <v>31</v>
      </c>
      <c r="M12" s="111"/>
      <c r="P12" s="21"/>
    </row>
    <row r="13" spans="1:16" customFormat="1">
      <c r="A13" s="107">
        <v>30</v>
      </c>
      <c r="B13" s="85">
        <v>46226</v>
      </c>
      <c r="C13" s="14" t="s">
        <v>61</v>
      </c>
      <c r="D13" s="107">
        <v>117017</v>
      </c>
      <c r="E13" s="111" t="s">
        <v>411</v>
      </c>
      <c r="F13" s="111" t="s">
        <v>55</v>
      </c>
      <c r="G13" s="112" t="s">
        <v>58</v>
      </c>
      <c r="H13" s="113" t="s">
        <v>526</v>
      </c>
      <c r="I13" s="113" t="s">
        <v>444</v>
      </c>
      <c r="J13" s="108" t="s">
        <v>527</v>
      </c>
      <c r="K13" s="85">
        <v>46233</v>
      </c>
      <c r="L13" s="111">
        <v>31</v>
      </c>
      <c r="M13" s="111" t="s">
        <v>528</v>
      </c>
      <c r="P13" s="21"/>
    </row>
    <row r="14" spans="1:16">
      <c r="A14" s="107">
        <v>30</v>
      </c>
      <c r="B14" s="85">
        <v>46227</v>
      </c>
      <c r="C14" s="46" t="s">
        <v>60</v>
      </c>
      <c r="D14" s="107">
        <v>117023</v>
      </c>
      <c r="E14" s="111" t="s">
        <v>427</v>
      </c>
      <c r="F14" s="111" t="s">
        <v>56</v>
      </c>
      <c r="G14" s="112" t="s">
        <v>58</v>
      </c>
      <c r="H14" s="113" t="s">
        <v>529</v>
      </c>
      <c r="I14" s="113" t="s">
        <v>398</v>
      </c>
      <c r="J14" s="108">
        <v>353982372543426</v>
      </c>
      <c r="K14" s="85">
        <v>46234</v>
      </c>
      <c r="L14" s="111">
        <v>31</v>
      </c>
      <c r="M14" s="111"/>
    </row>
    <row r="15" spans="1:16">
      <c r="A15" s="107">
        <v>30</v>
      </c>
      <c r="B15" s="85">
        <v>46227</v>
      </c>
      <c r="C15" s="14" t="s">
        <v>61</v>
      </c>
      <c r="D15" s="107">
        <v>117029</v>
      </c>
      <c r="E15" s="111" t="s">
        <v>435</v>
      </c>
      <c r="F15" s="111" t="s">
        <v>57</v>
      </c>
      <c r="G15" s="112" t="s">
        <v>58</v>
      </c>
      <c r="H15" s="113" t="s">
        <v>530</v>
      </c>
      <c r="I15" s="113" t="s">
        <v>415</v>
      </c>
      <c r="J15" s="108">
        <v>350811292604583</v>
      </c>
      <c r="K15" s="85">
        <v>46234</v>
      </c>
      <c r="L15" s="111">
        <v>31</v>
      </c>
      <c r="M15" s="111" t="s">
        <v>531</v>
      </c>
    </row>
    <row r="16" spans="1:16">
      <c r="A16" s="107">
        <v>31</v>
      </c>
      <c r="B16" s="85">
        <v>46230</v>
      </c>
      <c r="C16" s="14" t="s">
        <v>61</v>
      </c>
      <c r="D16" s="107">
        <v>117036</v>
      </c>
      <c r="E16" s="111" t="s">
        <v>440</v>
      </c>
      <c r="F16" s="111" t="s">
        <v>55</v>
      </c>
      <c r="G16" s="112" t="s">
        <v>59</v>
      </c>
      <c r="H16" s="113" t="s">
        <v>532</v>
      </c>
      <c r="I16" s="113" t="s">
        <v>533</v>
      </c>
      <c r="J16" s="108" t="s">
        <v>534</v>
      </c>
      <c r="K16" s="85"/>
      <c r="L16" s="111"/>
      <c r="M16" s="111" t="s">
        <v>535</v>
      </c>
    </row>
    <row r="17" spans="1:13">
      <c r="A17" s="107">
        <v>30</v>
      </c>
      <c r="B17" s="85">
        <v>46231</v>
      </c>
      <c r="C17" s="14" t="s">
        <v>61</v>
      </c>
      <c r="D17" s="107">
        <v>117041</v>
      </c>
      <c r="E17" s="111" t="s">
        <v>379</v>
      </c>
      <c r="F17" s="111" t="s">
        <v>24</v>
      </c>
      <c r="G17" s="112" t="s">
        <v>58</v>
      </c>
      <c r="H17" s="113" t="s">
        <v>536</v>
      </c>
      <c r="I17" s="113" t="s">
        <v>460</v>
      </c>
      <c r="J17" s="108">
        <v>8.9340130825500303E+18</v>
      </c>
      <c r="K17" s="85">
        <v>46238</v>
      </c>
      <c r="L17" s="111">
        <v>32</v>
      </c>
      <c r="M17" s="111"/>
    </row>
    <row r="18" spans="1:13">
      <c r="A18" s="107">
        <v>30</v>
      </c>
      <c r="B18" s="85">
        <v>46232</v>
      </c>
      <c r="C18" s="14" t="s">
        <v>61</v>
      </c>
      <c r="D18" s="107">
        <v>117048</v>
      </c>
      <c r="E18" s="111" t="s">
        <v>384</v>
      </c>
      <c r="F18" s="111" t="s">
        <v>24</v>
      </c>
      <c r="G18" s="112" t="s">
        <v>58</v>
      </c>
      <c r="H18" s="113" t="s">
        <v>537</v>
      </c>
      <c r="I18" s="113" t="s">
        <v>415</v>
      </c>
      <c r="J18" s="108">
        <v>8.9340130825500303E+18</v>
      </c>
      <c r="K18" s="85">
        <v>46239</v>
      </c>
      <c r="L18" s="111">
        <v>32</v>
      </c>
      <c r="M18" s="111"/>
    </row>
    <row r="19" spans="1:13">
      <c r="A19" s="107">
        <v>30</v>
      </c>
      <c r="B19" s="85">
        <v>46233</v>
      </c>
      <c r="C19" s="46" t="s">
        <v>60</v>
      </c>
      <c r="D19" s="107">
        <v>117053</v>
      </c>
      <c r="E19" s="111" t="s">
        <v>400</v>
      </c>
      <c r="F19" s="111" t="s">
        <v>24</v>
      </c>
      <c r="G19" s="112" t="s">
        <v>58</v>
      </c>
      <c r="H19" s="113" t="s">
        <v>538</v>
      </c>
      <c r="I19" s="113" t="s">
        <v>525</v>
      </c>
      <c r="J19" s="108">
        <v>8.9340130825500303E+18</v>
      </c>
      <c r="K19" s="85">
        <v>46240</v>
      </c>
      <c r="L19" s="111">
        <v>32</v>
      </c>
      <c r="M19" s="111" t="s">
        <v>539</v>
      </c>
    </row>
    <row r="20" spans="1:13">
      <c r="A20" s="114">
        <v>31</v>
      </c>
      <c r="B20" s="115">
        <v>46234</v>
      </c>
      <c r="C20" s="46" t="s">
        <v>60</v>
      </c>
      <c r="D20" s="114">
        <v>117059</v>
      </c>
      <c r="E20" s="116" t="s">
        <v>481</v>
      </c>
      <c r="F20" s="116" t="s">
        <v>24</v>
      </c>
      <c r="G20" s="117" t="s">
        <v>59</v>
      </c>
      <c r="H20" s="118" t="s">
        <v>540</v>
      </c>
      <c r="I20" s="118" t="s">
        <v>541</v>
      </c>
      <c r="J20" s="119">
        <v>8.9340130825500396E+18</v>
      </c>
      <c r="K20" s="115"/>
      <c r="L20" s="116"/>
      <c r="M20" s="116" t="s">
        <v>523</v>
      </c>
    </row>
  </sheetData>
  <mergeCells count="1">
    <mergeCell ref="A1:B1"/>
  </mergeCells>
  <conditionalFormatting sqref="C4:C20">
    <cfRule type="expression" dxfId="22" priority="13">
      <formula>$C4="F"</formula>
    </cfRule>
    <cfRule type="expression" dxfId="21" priority="14">
      <formula>$C4="R"</formula>
    </cfRule>
  </conditionalFormatting>
  <conditionalFormatting sqref="S1:S1048576">
    <cfRule type="duplicateValues" dxfId="20" priority="11"/>
  </conditionalFormatting>
  <conditionalFormatting sqref="G4:G20">
    <cfRule type="expression" dxfId="19" priority="1">
      <formula>$G4="Pending"</formula>
    </cfRule>
    <cfRule type="expression" dxfId="18" priority="103">
      <formula>$G4="Received"</formula>
    </cfRule>
  </conditionalFormatting>
  <dataValidations count="5">
    <dataValidation operator="greaterThan" allowBlank="1" sqref="H4:M20" xr:uid="{64153670-898F-4E76-9245-248A92FE4B7C}"/>
    <dataValidation type="list" operator="greaterThan" allowBlank="1" sqref="F4:F20" xr:uid="{BE403AC5-24AE-4E28-9599-A60A8711EACB}">
      <formula1>"Computer, Dongle, Smartphone, SIM"</formula1>
    </dataValidation>
    <dataValidation type="date" operator="greaterThan" allowBlank="1" sqref="D4:E20 A4:B20" xr:uid="{39A39CF2-F24A-4CDC-913C-E5C7028BA9DC}">
      <formula1>DATE(2000,1,1)</formula1>
    </dataValidation>
    <dataValidation type="list" operator="greaterThan" allowBlank="1" sqref="G4:G20" xr:uid="{8D6BA19C-9609-4FDA-B4A0-47C758FDE960}">
      <formula1>"Received, Pending"</formula1>
    </dataValidation>
    <dataValidation type="list" operator="greaterThan" allowBlank="1" sqref="C4:C20" xr:uid="{4092EC2F-5EE4-4B2E-BAA8-7855EBC106EA}">
      <formula1>"R, H, E"</formula1>
    </dataValidation>
  </dataValidations>
  <pageMargins left="0.7" right="0.7" top="0.75" bottom="0.75" header="0.3" footer="0.3"/>
  <headerFooter>
    <oddFooter>&amp;L_x000D_&amp;1#&amp;"Aptos"&amp;8&amp;K000000 Este documento contiene información interna. No se recomienda su divulgación o copia a personas no autorizadas.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af1de1c-6c96-46ad-a0ae-d70d490403ee}" enabled="1" method="Standard" siteId="{814a983c-c7fc-4c6c-9d0f-f28bf96fca4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2026-05-18T07:29:55Z</dcterms:created>
  <dcterms:modified xsi:type="dcterms:W3CDTF">2026-09-07T23:06:38Z</dcterms:modified>
  <cp:category/>
  <cp:contentStatus/>
</cp:coreProperties>
</file>